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чало" sheetId="1" r:id="rId5"/>
    <sheet state="visible" name="Кейс" sheetId="2" r:id="rId6"/>
    <sheet state="visible" name="С01_Успех" sheetId="3" r:id="rId7"/>
    <sheet state="visible" name="С02_Решения" sheetId="4" r:id="rId8"/>
    <sheet state="visible" name="С03_Подход" sheetId="5" r:id="rId9"/>
    <sheet state="visible" name="С04_Обоснование" sheetId="6" r:id="rId10"/>
    <sheet state="visible" name="С05_Содержание" sheetId="7" r:id="rId11"/>
    <sheet state="visible" name="С06_Расписание" sheetId="8" r:id="rId12"/>
    <sheet state="visible" name="С07_Взаимодействие" sheetId="9" r:id="rId13"/>
    <sheet state="visible" name="С08_Экономика" sheetId="10" r:id="rId14"/>
    <sheet state="visible" name="С09_Готовность" sheetId="11" r:id="rId15"/>
    <sheet state="visible" name="С10_Риски" sheetId="12" r:id="rId16"/>
    <sheet state="visible" name="С11_Диагностика" sheetId="13" r:id="rId17"/>
    <sheet state="visible" name="С12_Изменение" sheetId="14" r:id="rId18"/>
    <sheet state="visible" name="С13_Завершение" sheetId="15" r:id="rId19"/>
  </sheets>
  <definedNames/>
  <calcPr/>
</workbook>
</file>

<file path=xl/sharedStrings.xml><?xml version="1.0" encoding="utf-8"?>
<sst xmlns="http://schemas.openxmlformats.org/spreadsheetml/2006/main" count="1614" uniqueCount="1358">
  <si>
    <t>УПП · Москва · Книга команды · редакция 8.1</t>
  </si>
  <si>
    <t>UniFlow · описание учебного кейса</t>
  </si>
  <si>
    <t>С02 · Права решений и обращение к уполномоченному участнику</t>
  </si>
  <si>
    <t>С01 · Предыдущая попытка UniFlow и критерии успеха</t>
  </si>
  <si>
    <t>Откройте текущий семинар по навигации ниже. Все ответы этого семинара — на одном листе.</t>
  </si>
  <si>
    <t>← Начало</t>
  </si>
  <si>
    <t>Ваша рабочая версия</t>
  </si>
  <si>
    <t>Поле</t>
  </si>
  <si>
    <t>Заполните один раз</t>
  </si>
  <si>
    <t>Код команды</t>
  </si>
  <si>
    <t>Кейс →</t>
  </si>
  <si>
    <t>M-K11</t>
  </si>
  <si>
    <t>Курс «Управление программными проектами» · редакция 8 · 6 сентября 2026 года</t>
  </si>
  <si>
    <t>Номер команды для С12 (число)</t>
  </si>
  <si>
    <t>UniFlow — вымышленная информационная система сопровождения учебных проектов. На её примере вы будете принимать решения о целях,</t>
  </si>
  <si>
    <t>PDF С01: выделите A1:F43 → Печать → Выбранные ячейки; альбомная, по ширине.</t>
  </si>
  <si>
    <t>Отделить подготовку решения от окончательного полномочия и сформировать обоснованное обращение по спорному вопросу.</t>
  </si>
  <si>
    <t>содержании, сроках, ресурсах, качестве и изменениях программного проекта. Разрабатывать работающую систему в рамках этих заданий не</t>
  </si>
  <si>
    <t>требуется. Результатом вашей работы станет пакет обоснованных управленческих решений.</t>
  </si>
  <si>
    <t>Версия / дата сохранения</t>
  </si>
  <si>
    <t>8.1 · 07.09.2026</t>
  </si>
  <si>
    <t>Состояние: Для двух условных упражнений считайте, что проект уже авторизован куратором, а 1 декабря 2026 года утверждено базовой датой</t>
  </si>
  <si>
    <t>В этом тексте описаны организация, повседневная работа участников, предыдущая попытка внедрения и условия новой. Краткие</t>
  </si>
  <si>
    <t>начала пилота. Это отдельное допущение для разбора полномочий; на С04 вы вернётесь к подготовке решения о запуске. Ситуации A/B не</t>
  </si>
  <si>
    <t>1. Заполните лист текущего СXX в этой книге. Жёлтые ячейки — ваш ввод; серые расчётные ячейки содержат формулы.</t>
  </si>
  <si>
    <t>характеристики собраны в конце. Для С01 особенно важны разделы о предыдущей попытке и наблюдениях; для С02 — участники и права</t>
  </si>
  <si>
    <t>2. Используйте готовые подходящие ответы. Если нужный ответ остался в прежней книге, сообщите преподавателю.</t>
  </si>
  <si>
    <t>описывают фактически наступившие события общего сценария.</t>
  </si>
  <si>
    <t>решений. В последующих семинарах преподаватель выдаёт новые сведения с датой состояния проекта.</t>
  </si>
  <si>
    <t>3. Сохраните одну версию с кодом команды. Порядок сдачи, формат вложения и окончательные сроки — в «Старт студента».</t>
  </si>
  <si>
    <t>Различить исполнение проекта, качество результата, использование и эффект; обосновать первое действие для новой попытки.</t>
  </si>
  <si>
    <t>Задание: Краткая карта шести прав и два подробных разбора. Отдельная большая матрица влияния и ещё шесть развёрнутых обращений не</t>
  </si>
  <si>
    <t>4. Это рабочая книга команды редакции 8.1. Выполняйте задание текущего занятия; после работы сохраните PDF.</t>
  </si>
  <si>
    <t>Будущие листы выполняйте после назначения соответствующей вводной. Даты внутри кейса — даты вымышленного проекта.</t>
  </si>
  <si>
    <t>требуются.</t>
  </si>
  <si>
    <t>Оценивание: итог = 0,5 × семинары + 0,5 × тест. Семинары = (КТ1 + КТ2 + КТ3 + Инд) / 4, все баллы 0–10. Одна доработка каждой КТ</t>
  </si>
  <si>
    <t>заменяет балл. Правила применяются после объявления.</t>
  </si>
  <si>
    <t>Состояние: Рассматривается предыдущая попытка UniFlow. Цели M01–M04 характеризуют новую попытку и не становятся задним числом</t>
  </si>
  <si>
    <t>Описание UniFlow: участники, границы проекта, каталог P01–P06.</t>
  </si>
  <si>
    <t>Навигация по работе</t>
  </si>
  <si>
    <t>Как устроена работа с учебными проектами</t>
  </si>
  <si>
    <t>Открыть</t>
  </si>
  <si>
    <t>Тема</t>
  </si>
  <si>
    <t>Ситуация A: РП получил оценку команды, что заданный объём будет готов 15 декабря вместо 1 декабря. Он хочет сообщить заказчику новую дату.</t>
  </si>
  <si>
    <t>условиями приёмки старой.</t>
  </si>
  <si>
    <t>Величина и причина задержки для этого упражнения не вычисляются: нужно определить порядок решения и требуемые доказательства.</t>
  </si>
  <si>
    <t>В вымышленном университете студенты двух образовательных направлений выполняют учебные проекты в командах. У каждой команды есть</t>
  </si>
  <si>
    <t>С01 →</t>
  </si>
  <si>
    <t>Задание: Четыре осмысленные строки оценки, одна обоснованная цепочка, четыре критерия и одно действие. Достаточно читаемых</t>
  </si>
  <si>
    <t>Ситуация B: владелец продукта предлагает начать пилот с обязательными функциями, но результат проверки восстановления данных ещё не</t>
  </si>
  <si>
    <t>руководитель. Работа разделена на контрольные точки: к согласованному сроку команда должна представить определённый результат, а</t>
  </si>
  <si>
    <t>формулировок в одном листе; отдельный большой отчёт не требуется.</t>
  </si>
  <si>
    <t>представлен. Нужно решить, чьего согласия достаточно и что необходимо получить до допуска.</t>
  </si>
  <si>
    <t>руководитель — дать обратную связь. Координаторы следят за ходом работы всего потока и помогают разбирать отклонения.</t>
  </si>
  <si>
    <t>Предыдущая попытка UniFlow и критерии успеха</t>
  </si>
  <si>
    <t>Описание UniFlow: разделы о предыдущей попытке, наблюдениях и новых целях; факты U01–U04, наблюдения E01–E04, показатели M01–M04.</t>
  </si>
  <si>
    <t>Заполняйте жёлтые ячейки, в том числе поля с кодом или подписью. Неизвестное отмечайте словами, не нулём.</t>
  </si>
  <si>
    <t>Например, к пятнице команда готовит описание проблемы и план проверки решения. Участник команды фиксирует результат и ссылку на</t>
  </si>
  <si>
    <t>Что студент уже знает о полномочиях
Куратор разрешает запуск и изменение базовой даты, принимает результат; владелец продукта меняет приоритеты в согласованных границах. Эксплуатация допускает версию к пилоту; ИБ принимает остаточный риск ИБ.
Кто утверждает регламент учебного процесса, пока не задано: предложите участника для подготовки решения, а право утверждения уточните в поле «Открытый вопрос». Каталог P01–P06 разберём на Л02/С02.</t>
  </si>
  <si>
    <t>Кто принимает шесть решений</t>
  </si>
  <si>
    <t>С02 →</t>
  </si>
  <si>
    <t>материалы. Руководитель проверяет его, оставляет замечания и подтверждает статус контрольной точки. Если работа задерживается,</t>
  </si>
  <si>
    <t>координатор должен увидеть, какая команда отстаёт, чего не хватает и кто отвечает за следующий шаг. Для этого ему нужны актуальные</t>
  </si>
  <si>
    <t>Оценка предыдущей попытки</t>
  </si>
  <si>
    <t>Код и решение</t>
  </si>
  <si>
    <t>сведения, а не только список зарегистрированных команд.</t>
  </si>
  <si>
    <t>Права решений и обращение к уполномоченному участнику</t>
  </si>
  <si>
    <t>Кто готовит</t>
  </si>
  <si>
    <t>Кто окончательно решает</t>
  </si>
  <si>
    <t>Измерение</t>
  </si>
  <si>
    <t>Чьё заключение требуется</t>
  </si>
  <si>
    <t>С03 →</t>
  </si>
  <si>
    <t>Факт и код</t>
  </si>
  <si>
    <t>Допустимый вывод</t>
  </si>
  <si>
    <t>Чего не хватает</t>
  </si>
  <si>
    <t>В целевом процессе сведения проходят через UniFlow. Команда регистрирует состав и обновляет статусы, руководитель оставляет обратную</t>
  </si>
  <si>
    <t>P01 Авторизация</t>
  </si>
  <si>
    <t>Исполнение</t>
  </si>
  <si>
    <t>связь, координатор видит сводку. Сами полные тексты работ хранятся в предназначенном для этого хранилище; UniFlow хранит сведения о</t>
  </si>
  <si>
    <t>РП — обоснование целей, бюджета, сроков, ресурсов и рисков проекта.</t>
  </si>
  <si>
    <t>Как организовать работу четырёх контуров UniFlow</t>
  </si>
  <si>
    <t>ходе проекта и ссылки. Итоговые оценки выставляются в другой системе.</t>
  </si>
  <si>
    <t>С04 →</t>
  </si>
  <si>
    <t>Качество</t>
  </si>
  <si>
    <t>Использование</t>
  </si>
  <si>
    <t>Куратор</t>
  </si>
  <si>
    <t>Обоснование и разрешение начать UniFlow</t>
  </si>
  <si>
    <t>Эффект</t>
  </si>
  <si>
    <t>Заказчик — подтверждает потребность и ожидаемую ценность продукта.</t>
  </si>
  <si>
    <t>С05 →</t>
  </si>
  <si>
    <t>Пользователи не всегда выполняют действия одновременно. Студент может сообщить об изменении в чате, руководитель — ответить письмом, а</t>
  </si>
  <si>
    <t>P02 Приоритет функций</t>
  </si>
  <si>
    <t>Причинная цепочка</t>
  </si>
  <si>
    <t>Владелец продукта — перечень функций и оценку их полезности для пользователей.</t>
  </si>
  <si>
    <t>Владелец продукта</t>
  </si>
  <si>
    <t>От потребности к работе и доказательству</t>
  </si>
  <si>
    <t>РП и команда разработки — оценку трудоёмкости, сроков, ресурсов и технических зависимостей.</t>
  </si>
  <si>
    <t>координатор — внести исправление в отдельную ведомость. Если не определено, какая запись считается актуальной и кто её обновляет,</t>
  </si>
  <si>
    <t>С06 →</t>
  </si>
  <si>
    <t>P03 Базовая дата</t>
  </si>
  <si>
    <t>РП — календарный план, оценку сроков, ресурсов, зависимостей и рисков.</t>
  </si>
  <si>
    <t>наличие общего портала не устраняет расхождения автоматически.</t>
  </si>
  <si>
    <t>Команда разработки — реалистичность сроков; владелец продукта — допустимость изменения объёма функций.</t>
  </si>
  <si>
    <t>P04 Допуск к пилоту</t>
  </si>
  <si>
    <t>Сеть, ресурсы и прогноз</t>
  </si>
  <si>
    <t>РП — комплект результатов испытаний и подтверждений готовности системы.</t>
  </si>
  <si>
    <t>Эксплуатация</t>
  </si>
  <si>
    <t>Владелец продукта — готовность обязательных функций; ИБ — заключение о допустимости рисков безопасности; техническая команда — результаты проверки восстановления данных.</t>
  </si>
  <si>
    <t>С07 →</t>
  </si>
  <si>
    <t>P05 Риск ИБ</t>
  </si>
  <si>
    <t>РП и техническая команда — описание рисков, результаты проверок и меры по устранению уязвимостей.</t>
  </si>
  <si>
    <t>Информационная безопасность</t>
  </si>
  <si>
    <t>Участники и их интересы</t>
  </si>
  <si>
    <t>Шаг</t>
  </si>
  <si>
    <t>Техническая команда — возможность реализации защитных мер; эксплуатация — влияние рисков и мер защиты на работу системы.</t>
  </si>
  <si>
    <t>Ответ и основание</t>
  </si>
  <si>
    <t>Кто выполняет работу и как разрешается конфликт</t>
  </si>
  <si>
    <t>P06 Приёмка результата</t>
  </si>
  <si>
    <t>РП — отчёт о выполненных требованиях, результаты испытаний и комплект приёмочной документации.</t>
  </si>
  <si>
    <t>Планируемый пилот охватывает 500 студентов, 60 руководителей учебных проектов и 6 администраторов двух направлений. В кейсе</t>
  </si>
  <si>
    <t>Владелец продукта — соответствие требованиям; заказчик — соответствие ожидаемому результату; эксплуатация — готовность к сопровождению.</t>
  </si>
  <si>
    <t>С08 →</t>
  </si>
  <si>
    <t>Наблюдаемый факт</t>
  </si>
  <si>
    <t>администратор, который собирает и сверяет сведения о ходе учебных проектов, называется координатором. Число учебных команд не задано;</t>
  </si>
  <si>
    <t>60 руководителей не означают 60 команд.</t>
  </si>
  <si>
    <t>Ближайшее объяснение</t>
  </si>
  <si>
    <t>Стоимость, два прогноза и выбор способа получить модуль</t>
  </si>
  <si>
    <t>Управленческое условие</t>
  </si>
  <si>
    <t>С09 →</t>
  </si>
  <si>
    <t>Студентам важно один раз зафиксировать результат и понять, получен ли он руководителем. Руководителю нужны материалы, история</t>
  </si>
  <si>
    <t>Изменение даты</t>
  </si>
  <si>
    <t>Возможное решение</t>
  </si>
  <si>
    <t>замечаний и понятный список ожидающих ответа команд. Координатору нужна достоверная сводка без постоянной ручной сверки. Руководству</t>
  </si>
  <si>
    <t>Достаточно ли доказательств для допуска версии</t>
  </si>
  <si>
    <t>Ответ</t>
  </si>
  <si>
    <t>Альтернативное объяснение</t>
  </si>
  <si>
    <t>важно видеть отклонения и получать измеримое улучшение процесса.</t>
  </si>
  <si>
    <t>Предмет решения</t>
  </si>
  <si>
    <t>Изменить ли утверждённую базовую дату с 1 на 15 декабря 2026 года или сохранить исходный срок за счёт корректировки объёма работ?</t>
  </si>
  <si>
    <t>Проверка гипотез</t>
  </si>
  <si>
    <t>С10 →</t>
  </si>
  <si>
    <t>Предмет решения - отвечает на конкретный вопрос по которому уполномоченное лицо должно сделать выбор (что утвердить, отменить, разрешить, изменить..)</t>
  </si>
  <si>
    <t>Новый программный проект ведёт руководитель проекта, сокращённо РП. Он организует работу, собирает оценки и выносит решения за</t>
  </si>
  <si>
    <t>Риски: от возможного события к действию</t>
  </si>
  <si>
    <t>пределами своих полномочий нужным участникам. Владелец продукта определяет приоритеты функций и представляет потребности</t>
  </si>
  <si>
    <t>Адресат и полномочие</t>
  </si>
  <si>
    <t>Порог использования — предложение команды: обоснуйте его допустимой долей команд, которым ещё нужна ручная помощь (например, 80% подходит лишь при предположении, что поддержка справится с оставшимися 20%), указав целевое действие, период и проверку этого предположения на пилоте.</t>
  </si>
  <si>
    <t>Куратор — окончательно утверждает изменение базовой даты (P03). РП готовит обоснование, но не вправе самостоятельно менять утверждённый срок.</t>
  </si>
  <si>
    <t>пользователей. Куратор проекта выделяет ресурсы, утверждает основные обязательства и принимает результат. Подразделение информационной</t>
  </si>
  <si>
    <t>С11 →</t>
  </si>
  <si>
    <t>Необходимые данные</t>
  </si>
  <si>
    <t>Критерии новой попытки</t>
  </si>
  <si>
    <t>Утверждённый план на 1 декабря; фактическая готовность работ; прогноз команды на 15 декабря; причины задержки; перечень незавершённых задач; влияние переноса на бюджет, ресурсы, качество и запуск пилота.</t>
  </si>
  <si>
    <t>безопасности, сокращённо ИБ, оценивает риски безопасности. Эксплуатация отвечает за готовность к работе системы и поддержки.</t>
  </si>
  <si>
    <t>Диагноз состояния и два условных прогноза</t>
  </si>
  <si>
    <t>Два варианта</t>
  </si>
  <si>
    <t>Показатель и определение</t>
  </si>
  <si>
    <t>1. Сохранить 1 декабря: согласовать с владельцем продукта перенос необязательных функций на следующий этап при условии готовности обязательных функций и выполнения требований качества и безопасности. 2. Перенести дату на 15 декабря: сохранить согласованный объём, представить обновлённый план и оценку последствий переноса.</t>
  </si>
  <si>
    <t>Исходное значение</t>
  </si>
  <si>
    <t>Цель</t>
  </si>
  <si>
    <t>С12 →</t>
  </si>
  <si>
    <t>Ваша реальная команда на курсе УПП анализирует этот вымышленный проект. Учебные роли внутри вашей команды — ведущий, секретарь,</t>
  </si>
  <si>
    <t>Что РП делает до ответа</t>
  </si>
  <si>
    <t>Когда проверить</t>
  </si>
  <si>
    <t>Как и кто измеряет</t>
  </si>
  <si>
    <t>оператор, докладчик и другие — помогают организовать семинар. Они не дают автоматически полномочий куратора, владельца продукта или</t>
  </si>
  <si>
    <t>Проверяет прогноз команды, готовит два варианта с оценкой последствий, запрашивает позицию владельца продукта по изменению объёма и передаёт куратору запрос на изменение базовой даты. Заказчика информирует о риске задержки, не представляя 15 декабря как утверждённый срок.</t>
  </si>
  <si>
    <t>Изменение по остаточному плану</t>
  </si>
  <si>
    <t>Срок ответа и основание</t>
  </si>
  <si>
    <t>эксплуатации в кейсе.</t>
  </si>
  <si>
    <t>Предлагаемое правило команды: куратор отвечает в течение двух рабочих дней после получения полного обоснования, но до утверждения нового плана и официального сообщения заказчику новой даты.</t>
  </si>
  <si>
    <t>С13 →</t>
  </si>
  <si>
    <t>Действие при отсутствии ответа</t>
  </si>
  <si>
    <t>Предыдущая попытка UniFlow</t>
  </si>
  <si>
    <t>Дата 1 декабря остаётся действующей. РП повторно обращается к куратору, фиксирует риск срыва срока и продолжает работы по действующему плану в пределах своих полномочий. Молчание куратора не считается согласием на перенос.</t>
  </si>
  <si>
    <t>Проверка пакета и решение о завершении</t>
  </si>
  <si>
    <t>Допуск к пилоту</t>
  </si>
  <si>
    <t>Кейс UniFlow →</t>
  </si>
  <si>
    <t>До рассматриваемого нового проекта в университете уже пытались внедрить портал UniFlow. Создали регистрацию команд, контрольные точки,</t>
  </si>
  <si>
    <t>обратную связь руководителя и панель координатора. Однако после завершения разработки участники продолжили пользоваться несколькими</t>
  </si>
  <si>
    <t>Первое решение</t>
  </si>
  <si>
    <t>Формы · Москва</t>
  </si>
  <si>
    <t>каналами, и заказчик остался недоволен организацией работы.</t>
  </si>
  <si>
    <t>Действие</t>
  </si>
  <si>
    <t>F00 · Регистрация</t>
  </si>
  <si>
    <t>Основание</t>
  </si>
  <si>
    <t>Можно ли допустить UniFlow к пилоту при готовности обязательных функций, но без подтверждённого результата проверки восстановления данных?</t>
  </si>
  <si>
    <t>Кто решает / что уточнить</t>
  </si>
  <si>
    <t>https://docs.google.com/forms/d/e/1FAIpQLSdisiK_wQOd-ycAxOox6SBMcpzmipWoDN4THQraNrLZutM0nw/viewform</t>
  </si>
  <si>
    <t>Сохранились четыре итоговых утверждения о той попытке:</t>
  </si>
  <si>
    <t>Эксплуатация — окончательно решает вопрос о допуске к пилоту (P04). ИБ отдельно принимает решение о допустимости рисков информационной безопасности (P05). Владелец продукта подтверждает готовность функционального объёма (P02), но его согласия недостаточно для запуска.</t>
  </si>
  <si>
    <t>Ожидаемый эффект и проверка</t>
  </si>
  <si>
    <t>Справочные сведения</t>
  </si>
  <si>
    <t>Необходимые доказательства</t>
  </si>
  <si>
    <t>Участники</t>
  </si>
  <si>
    <t>F01 · Сдача результата и исправлений</t>
  </si>
  <si>
    <t>Подтверждение готовности обязательных функций; результаты функциональных испытаний; протокол проверки восстановления данных из резервной копии; подтверждение устранения критических дефектов; заключение ИБ; подтверждение готовности эксплуатации к сопровождению пилота.</t>
  </si>
  <si>
    <t>Код</t>
  </si>
  <si>
    <t>Сведения из отчёта</t>
  </si>
  <si>
    <t>https://docs.google.com/forms/d/e/1FAIpQLSeZuHnj9XXZdZodWcyo4Xc-OIHkWSvuQwuZumWzaKhacBWY2A/viewform</t>
  </si>
  <si>
    <t>Граница решения ИБ</t>
  </si>
  <si>
    <t>ИБ оценивает риски безопасности и принимает решение об их допустимости (P05). Эксплуатация решает вопрос о технической и организационной готовности к пилоту (P04). Положительное заключение ИБ не заменяет решения эксплуатации, а согласие владельца продукта не заменяет заключения ИБ.</t>
  </si>
  <si>
    <t>F02 · Перекрёстная проверка</t>
  </si>
  <si>
    <t>U01</t>
  </si>
  <si>
    <t>Портал запущен в обещанный срок.</t>
  </si>
  <si>
    <t>Рекомендация сейчас</t>
  </si>
  <si>
    <t>https://docs.google.com/forms/d/e/1FAIpQLSc1UQ_tAla-oqM9Iy6N2tYdIppjQA15e7nVRjIiaeeXXitqVg/viewform</t>
  </si>
  <si>
    <t>Открытый вопрос</t>
  </si>
  <si>
    <t>Не допускать систему к пилоту до получения результатов проверки восстановления данных. Продолжить подготовку пилота, завершить испытания и получить необходимые заключения.</t>
  </si>
  <si>
    <t>U02</t>
  </si>
  <si>
    <t>Бюджет разработки превышен на 4%. Согласованный допуск превышения в материалах не указан.</t>
  </si>
  <si>
    <t>Ссылки сверены с действующими управляющими таблицами 6 сентября 2026 года. Порядок использования форм — в «Старт студента».</t>
  </si>
  <si>
    <t>Порядок выполнения и самопроверка</t>
  </si>
  <si>
    <t>Расписание семинаров смотрите в объявленном расписании кампуса. Поле сдачи в старой таблице пусто; 19:00 относилось к рецензии.</t>
  </si>
  <si>
    <t>U03</t>
  </si>
  <si>
    <t>Предлагаемое правило команды: команда разработки предоставляет результаты проверки восстановления данных не позднее чем за два рабочих дня до планируемого пилота. ИБ и эксплуатация рассматривают полный комплект материалов до фактического запуска.</t>
  </si>
  <si>
    <t>Все обещанные функции доступны. Это утверждение о составе реализованных функций.</t>
  </si>
  <si>
    <t>Источники: Карточки С01–С13 редакции 8; Описание UniFlow; Вводные D03–D13; числовые вводные редакции 8.</t>
  </si>
  <si>
    <t>U04</t>
  </si>
  <si>
    <t>1. Заполните четыре строки оценки предыдущей попытки: исполнение, качество, использование, эффект. В каждой укажите факт и его код,</t>
  </si>
  <si>
    <t>Не начинать пилот без решения эксплуатации и необходимых заключений. РП фиксирует препятствие, организует завершение проверок и повторно направляет материалы на рассмотрение. Если возникает необходимость изменить утверждённую базовую дату, отдельно обращается к куратору (P03).</t>
  </si>
  <si>
    <t>За первые 30 дней после запуска активны 12% зарегистрированных пользователей.</t>
  </si>
  <si>
    <t>допустимый вывод и недостающие сведения.</t>
  </si>
  <si>
    <t>2. Выберите один наблюдаемый факт и постройте одну подробную цепочку: ближайшее объяснение, управленческое условие, решение, которое</t>
  </si>
  <si>
    <t>В U04 активным считается зарегистрированный пользователь, выполнивший хотя бы одно целевое действие: создание или изменение записи</t>
  </si>
  <si>
    <t>команды, обновление контрольной точки, размещение обратной связи либо просмотр панели координатора. Повторные действия одного человека</t>
  </si>
  <si>
    <t>1. Заполните краткую карту шести решений P01–P06: кто готовит, кто окончательно решает и какое заключение или согласование существенно.</t>
  </si>
  <si>
    <t>могло изменить ситуацию. Пометьте гипотезы. Назовите одну альтернативу и данные, которые позволят различить объяснения.</t>
  </si>
  <si>
    <t>не увеличивают число активных пользователей. Показатель относится к зарегистрированным пользователям старого портала; нельзя</t>
  </si>
  <si>
    <t>Само право из каталога не нужно изобретать.</t>
  </si>
  <si>
    <t>3. Предложите четыре критерия для новой попытки, по одному на каждое измерение. В строке «Исполнение» можно совместно указать срок и</t>
  </si>
  <si>
    <t>автоматически использовать в его знаменателе 500 студентов нового пилота.</t>
  </si>
  <si>
    <t>2. Разберите ситуацию A. Сформулируйте предмет решения, два возможных варианта, владельца полномочия и сведения для выбора. Покажите, что</t>
  </si>
  <si>
    <t>РП может сделать до ответа, не меняя базовую дату самовольно.</t>
  </si>
  <si>
    <t>бюджет. Для качества предложите проверяемое условие обязательного сценария; для использования определите целевое действие и охват; для</t>
  </si>
  <si>
    <t>Для этих 12% не предоставлены распределение активности по ролям, ожидаемая частота использования и согласованный целевой уровень.</t>
  </si>
  <si>
    <t>3. Разберите ситуацию B. Отделите полезность функций, готовность эксплуатации и принятие риска ИБ. Укажите, что можно рекомендовать сейчас</t>
  </si>
  <si>
    <t>эффекта выберите один показатель M01–M04 и объясните, какое улучшение он отражает, либо предложите обоснованное уточнение. Все четыре</t>
  </si>
  <si>
    <t>Низкая доля требует внимания, но сама по себе не объясняет причины и не измеряет пользу для организации. Аналогично наличие всех</t>
  </si>
  <si>
    <t>и чего не хватает для окончательного допуска.</t>
  </si>
  <si>
    <t>4. Для каждого обращения укажите адресата, необходимые материалы, срок ответа относительно нужного события и действие при отсутствии</t>
  </si>
  <si>
    <t>M-показателя заполнять не требуется. Укажите значение или «не измерено», порог, момент проверки, владельца и способ получения данных.</t>
  </si>
  <si>
    <t>функций не доказывает удобство, надёжность или успешность полного рабочего сценария.</t>
  </si>
  <si>
    <t>ответа. Предложенный срок обозначайте как правило команды, если он не задан.</t>
  </si>
  <si>
    <t>5. Сопоставьте решение с правами P01–P06 и предыдущей работой С01. Устраните ответственность без полномочия и решения без достаточных</t>
  </si>
  <si>
    <t>4. Выберите первое действие, обоснуйте участника для подготовки решения и ожидаемое изменение; неизвестное право утверждения уточните.</t>
  </si>
  <si>
    <t>оснований.</t>
  </si>
  <si>
    <t>Наблюдения о предыдущей попытке</t>
  </si>
  <si>
    <t>□ Окончательно решающий соответствует каталогу; РП и владелец продукта не присваивают чужие полномочия.</t>
  </si>
  <si>
    <t>Не обещайте, что одно действие гарантированно устранит все причины.</t>
  </si>
  <si>
    <t>□ Вопрос разделён на самостоятельные решения, если требуются разные владельцы.</t>
  </si>
  <si>
    <t>Ниже приведены дополнительные сведения учебного кейса. Используйте коды E01–E04, когда ссылаетесь на них в ответе. Они позволяют</t>
  </si>
  <si>
    <t>5. Укажите участников и один открытый вопрос в строках 42–43. Проверьте работу, сохраните версию и PDF диапазона A1:F43.</t>
  </si>
  <si>
    <t>□ Материалы обращения позволяют принять решение; срок ответа связан с событием.</t>
  </si>
  <si>
    <t>обсуждать причины, но не требуют от всех команд одинакового объяснения.</t>
  </si>
  <si>
    <t>□ Отсутствие ответа не считается согласием; сохранён выполнимый следующий шаг.</t>
  </si>
  <si>
    <t>□ Факты и наблюдения имеют источники; предполагаемая причина не выдана за доказанную.</t>
  </si>
  <si>
    <t>E01 Приёмка функций. В сохранившемся протоколе проверено, что можно создать команду, добавить контрольную точку, сохранить обратную</t>
  </si>
  <si>
    <t>□ Наличие функций, использование и эффект различены. Значения новой попытки не объявлены итогами старой.</t>
  </si>
  <si>
    <t>Переход: Используйте права решений при выборе подхода С03 и авторизации С04. Для двух ситуаций допустимы разные обоснованные варианты, но</t>
  </si>
  <si>
    <t>связь и открыть панель. Испытание полного сценария «команда сдала результат — руководитель ответил — координатор увидел актуальный</t>
  </si>
  <si>
    <t>базовая дата, допуск и принятие риска не становятся одним общим разрешением.</t>
  </si>
  <si>
    <t>□ Порог использования обоснован допустимой ручной помощью; предположение проверяется на пилоте. Неизвестное не заменено нулём.</t>
  </si>
  <si>
    <t>Источник задания: «Карточки С01–С13», редакция 8. Все сведения кейса — на листе «Кейс» и во вводной этого семинара.</t>
  </si>
  <si>
    <t>□ Для действия указаны участник, проверка результата и известное полномочие либо вопрос о праве утверждения.</t>
  </si>
  <si>
    <t>Переход: С01 создаёт основания для новой попытки. В С02 разберём, кто вправе принять предложенное действие. Старую работу можно</t>
  </si>
  <si>
    <t>Предыдущее решение команды →</t>
  </si>
  <si>
    <t>статус» в протоколе не зафиксировано. Отсутствие записи об испытании не доказывает, что каждая функция работала плохо.</t>
  </si>
  <si>
    <t>использовать: сохраните подходящую цепочку, уточните источники и перенесите критерии. Повторять все четыре старые цепочки не</t>
  </si>
  <si>
    <t>требуется.</t>
  </si>
  <si>
    <t>E02 Работа после запуска. При наблюдении за подготовкой очередной сводки координатор сопоставлял записи портала, сообщения в чатах и</t>
  </si>
  <si>
    <t>Разобранный пример: U03 подтверждает наличие функций; E01 сообщает, что в протоколе нет испытания полного сценария. Допустимо</t>
  </si>
  <si>
    <t>отдельную ведомость. Часть руководителей оставляла замечания в портале, часть отвечала вне него. Уточнённые сведения не всегда</t>
  </si>
  <si>
    <t>Используйте прежнее решение как основание. Новая общая вводная не является автоматически последствием вашей рекомендации.</t>
  </si>
  <si>
    <t>предположить, что приёмка отдельных функций не выявила затруднение между передачей результата и обновлением статуса. Пока это</t>
  </si>
  <si>
    <t>попадали обратно в портал. Поэтому координатору приходилось выяснять, какая запись отражает последнее состояние работы.</t>
  </si>
  <si>
    <t>гипотеза, поскольку сам сбой не наблюдался. Действие — согласовать с владельцем продукта полный сценарий и наблюдаемое испытание до</t>
  </si>
  <si>
    <t>E03 Передача процесса. В переданном регламенте перечислены функции системы и контакты технической поддержки. В нём не определены</t>
  </si>
  <si>
    <t>допуска к пилоту. Альтернатива: сценарий работал, а данные не обновлялись из-за правил процесса; для различения нужны наблюдение</t>
  </si>
  <si>
    <t>единый источник актуального статуса, роль, обязанная обновлять его после замечаний руководителя, и срок такого обновления. Это</t>
  </si>
  <si>
    <t>сценария и история обновлений. Для собственной цепочки можно выбрать другое основание, например E02/E03.</t>
  </si>
  <si>
    <t>установленный пробел конкретного регламента. Был ли он полностью или частично компенсирован устными договорённостями, неизвестно.</t>
  </si>
  <si>
    <t>E04 Оценка эффекта. В итоговом отчёте прошлой попытки нет согласованных порогов использования, качества полного сценария и</t>
  </si>
  <si>
    <t>организационного эффекта. Нет и сопоставимого замера времени ручной сверки до её внедрения. Заказчик сообщает, что ручная сверка</t>
  </si>
  <si>
    <t>сохранилась, но по этому отчёту нельзя вычислить, насколько она сократилась или выросла.</t>
  </si>
  <si>
    <t>Например, E02 и E03 позволяют выдвинуть гипотезу, что несогласованный порядок обновления статусов способствовал ручной сверке и снижал</t>
  </si>
  <si>
    <t>полезность панели. Они не доказывают отсутствие панели: по U03 она была реализована. Возможны и другие объяснения, для выбора между</t>
  </si>
  <si>
    <t>которыми понадобятся дополнительные сведения.</t>
  </si>
  <si>
    <t>Зачем запускается новая попытка</t>
  </si>
  <si>
    <t>Заказчик хочет наладить единый процесс сопровождения проектов. Новый проект должен связать действия студентов, руководителей и</t>
  </si>
  <si>
    <t>координаторов и подготовить дальнейшую эксплуатацию. Разработка функций рассматривается вместе с правилами их использования,</t>
  </si>
  <si>
    <t>ответственностью за данные и проверкой результата.</t>
  </si>
  <si>
    <t>Основная учебная ситуация С01–С04 — подготовка к решению о новом проекте 1 октября 2026 года. Два упражнения С02 о полномочиях</t>
  </si>
  <si>
    <t>отдельно предполагают уже авторизованный проект; это условный переход, обозначенный в задании. Заказчик задаёт предел бюджета 4,8 млн</t>
  </si>
  <si>
    <t>рублей и желаемое начало опытной эксплуатации 1 декабря 2026 года. На С04 вы подготовите обоснование и рекомендацию по авторизации.</t>
  </si>
  <si>
    <t>Последующие общие вводные курса будут явно сообщать, какая базовая версия принята для дальнейших упражнений.</t>
  </si>
  <si>
    <t>Пилот ограничен двумя направлениями. Он должен включать единый вход по университетской учётной записи, регистрацию команд, статусы и</t>
  </si>
  <si>
    <t>уведомления, обратную связь, панель координатора, разграничение прав, подготовку поддержки и восстановление данных. Единый вход</t>
  </si>
  <si>
    <t>обозначается SSO.</t>
  </si>
  <si>
    <t>Отдельный вопрос — дополнительный автоматический обмен сведениями с внешним реестром учебных проектов. Это не SSO. Его объём и</t>
  </si>
  <si>
    <t>зависимость от другой команды должны рассматриваться отдельно; изменения этой интеграции не отменяют требование безопасного входа.</t>
  </si>
  <si>
    <t>Новые вводные могут изменить состав такого обмена.</t>
  </si>
  <si>
    <t>За рамками пилота остаются проверка заимствований, выставление итоговых оценок, нативное мобильное приложение, хранение полных текстов</t>
  </si>
  <si>
    <t>работ и внедрение во всём университете. Предложение добавить одну из этих возможностей требует отдельного решения об изменении объёма.</t>
  </si>
  <si>
    <t>Исходные показатели и цели</t>
  </si>
  <si>
    <t>Перед новым проектом собраны сведения о текущем процессе. Они характеризуют отправную точку новой попытки. Их нельзя автоматически</t>
  </si>
  <si>
    <t>объявлять результатами старой разработки или доказательством её причин.</t>
  </si>
  <si>
    <t>M01 Видимость состояния. Доля учебных команд пилота, у которых есть полная карточка, а статус подтверждён не более семи календарных</t>
  </si>
  <si>
    <t>дней назад. Полная карточка содержит состав, ответственного за обновление, ближайшую контрольную точку и её срок, а также состояние</t>
  </si>
  <si>
    <t>последней контрольной точки. Знаменатель — все команды, включённые в реестр пилота на дату проверки. Исходное значение пока не</t>
  </si>
  <si>
    <t>измерено; цель — не менее 90%.</t>
  </si>
  <si>
    <t>M02 Просроченные контрольные точки. Доля контрольных точек, у которых результат не зафиксирован к согласованному сроку, среди всех</t>
  </si>
  <si>
    <t>контрольных точек со сроком в рассматриваемой неделе. Изменение срока учитывается только после согласования и сохраняется в истории.</t>
  </si>
  <si>
    <t>Исходное значение — 22%; цель — не более 10%. Это доля контрольных точек, а не доля студентов и не процент увеличения длительности</t>
  </si>
  <si>
    <t>проекта.</t>
  </si>
  <si>
    <t>M03 Время ручной сверки. Время координаторов на сбор и сопоставление сведений о статусах, в среднем на одну учебную команду за неделю.</t>
  </si>
  <si>
    <t>В него не входят содержательная проверка студенческой работы и консультации руководителя. Для расчёта суммируется время сверки по</t>
  </si>
  <si>
    <t>заранее закреплённой выборке учебных команд и делится на число всех команд этой выборки, включая команды с нулевыми затратами времени</t>
  </si>
  <si>
    <t>на сверку. До и после изменений используется одна и та же выборка и процедура учёта. Исходное значение — 25 минут; цель — не более 12</t>
  </si>
  <si>
    <t>С03 · Как организовать работу четырёх контуров UniFlow</t>
  </si>
  <si>
    <t>минут. Нельзя умножать 25 минут на 60 руководителей или ещё раз на всех шестерых администраторов.</t>
  </si>
  <si>
    <t>M04 Удовлетворённость процессом. Средняя оценка удобства сопровождения проекта по шкале от 1 до 5 среди пользователей, которые</t>
  </si>
  <si>
    <t>выполняли целевые действия в период проверки. В отчёте сохраняются число ответов и их распределение по ролям. Исходное значение не</t>
  </si>
  <si>
    <t>измерено; цель — не ниже 4,0. Отсутствующий замер не равен нулю.</t>
  </si>
  <si>
    <t>Цели M01–M04 предлагаются заказчиком для оценки первых четырёх недель пилота, с контрольным срезом 28 декабря 2026 года. До старта</t>
  </si>
  <si>
    <t>требуется получить отсутствующие исходные замеры и согласовать протокол измерения. Владелец продукта организует измерение M01 и M04,</t>
  </si>
  <si>
    <t>координатор — M02 и M03. На семинарах можно аргументированно обсуждать достаточность этих показателей и предлагать дополнения;</t>
  </si>
  <si>
    <t>предложенный критерий нужно отделять от уже заданного.</t>
  </si>
  <si>
    <t>Обосновать правила планирования и проверки для разных частей одного проекта.</t>
  </si>
  <si>
    <t>Состояние: Начало нового проекта, до разработки. Используйте описание новой попытки, решения С02 и вводную D03. Дата пилота 1 декабря</t>
  </si>
  <si>
    <t>Начало пилота 1 декабря и достижение эффекта к 28 декабря — разные проверки. Для допуска к пилоту сначала нужны доказательства</t>
  </si>
  <si>
    <t>— ограничение всего проекта; сама по себе она не определяет способ разработки.</t>
  </si>
  <si>
    <t>Задание: Четыре осмысленные строки, две связи между контурами и один защищённый выбор. Дополнительная полная анкета факторов не</t>
  </si>
  <si>
    <t>работоспособности обязательных сценариев, разграничения прав, восстановления данных и готовности поддержки. Условия конкретной</t>
  </si>
  <si>
    <t>проверки качества будут выданы в соответствующем семинаре.</t>
  </si>
  <si>
    <t>Шесть факторов: изменчивость требований; цена позднего изменения; доступность и ритм обратной связи; внешние зависимости; компетенции</t>
  </si>
  <si>
    <t>команды; обязательства и обязательные проверки.</t>
  </si>
  <si>
    <t>D03 содержит сведения об инфраструктуре, интерфейсе, интеграциях и безопасности. Неизвестное допускается обозначить как неизвестное,</t>
  </si>
  <si>
    <t>Кто принимает решения</t>
  </si>
  <si>
    <t>но нужно назвать проверку, которая повлияет на выбор.</t>
  </si>
  <si>
    <t>Режимы: заранее согласованный план; короткие циклы с пересмотром; сочетание этих правил. Название Scrum не заменяет описание правил.</t>
  </si>
  <si>
    <t>Для упражнений действует следующий каталог. РП готовит решение и организует взаимодействие, но не получает автоматически последнее</t>
  </si>
  <si>
    <t>слово во всех вопросах.</t>
  </si>
  <si>
    <t>Выбор подхода</t>
  </si>
  <si>
    <t>Контур</t>
  </si>
  <si>
    <t>Два фактора и факты</t>
  </si>
  <si>
    <t>Режим и горизонт</t>
  </si>
  <si>
    <t>Обратная связь</t>
  </si>
  <si>
    <t>Синхронизация</t>
  </si>
  <si>
    <t>Триггер пересмотра</t>
  </si>
  <si>
    <t>Инфраструктура</t>
  </si>
  <si>
    <t>Интерфейс</t>
  </si>
  <si>
    <t>Решение</t>
  </si>
  <si>
    <t>Интеграции</t>
  </si>
  <si>
    <t>Безопасность</t>
  </si>
  <si>
    <t>P01</t>
  </si>
  <si>
    <t>Авторизовать проект и выделить ресурсы</t>
  </si>
  <si>
    <t>Связи и защита</t>
  </si>
  <si>
    <t>P02</t>
  </si>
  <si>
    <t>Зависимость или спорный выбор</t>
  </si>
  <si>
    <t>Последствие</t>
  </si>
  <si>
    <t>Правило или мера защиты</t>
  </si>
  <si>
    <t>Изменить приоритет функций в пределах согласованных границ</t>
  </si>
  <si>
    <t>Связь 1</t>
  </si>
  <si>
    <t>P03</t>
  </si>
  <si>
    <t>Изменить базовую дату проекта</t>
  </si>
  <si>
    <t>P04</t>
  </si>
  <si>
    <t>Допустить конкретную версию к опытной эксплуатации</t>
  </si>
  <si>
    <t>Связь 2</t>
  </si>
  <si>
    <t>P05</t>
  </si>
  <si>
    <t>Принять остаточный риск информационной безопасности</t>
  </si>
  <si>
    <t>ИБ</t>
  </si>
  <si>
    <t>Спорный выбор</t>
  </si>
  <si>
    <t>P06</t>
  </si>
  <si>
    <t>Принять результат проекта относительно согласованных обязательств</t>
  </si>
  <si>
    <t>1. Прочитайте D03. Для каждого контура выберите два фактора, наиболее влияющих на способ работы; кратко объясните их действие.</t>
  </si>
  <si>
    <t>2. Заполните четыре строки: контур → факты → режим → обратная связь → общая точка синхронизации → условие пересмотра. Не нужно</t>
  </si>
  <si>
    <t>Одна просьба может потребовать нескольких отдельных решений. Например, перенос даты не заменяет допуск версии, а согласие владельца</t>
  </si>
  <si>
    <t>проставлять баллы по всем 24 сочетаниям.</t>
  </si>
  <si>
    <t>3. Покажите две зависимости между контурами. Объясните, что произойдёт, если проверка одного контура не пройдена.</t>
  </si>
  <si>
    <t>продукта не заменяет принятие риска ИБ. Перед решением нужно определить, какие данные требуются и чьё заключение обязательно. Если</t>
  </si>
  <si>
    <t>4. Защитите один спорный выбор: допустимая альтернатива, риск вашего выбора и мера защиты.</t>
  </si>
  <si>
    <t>полномочие не задано, команда должна указать необходимость его уточнения, а не назначать его молча.</t>
  </si>
  <si>
    <t>□ Режим выведен из фактов; фиксированная дата не использована как единственное основание.</t>
  </si>
  <si>
    <t>□ Проверка имеет предмет и участника; календарная встреча без результата недостаточна.</t>
  </si>
  <si>
    <t>Как использовать кейс на курсе</t>
  </si>
  <si>
    <t>□ При отрицательной обратной связи понятно, что можно изменить и кто решает.</t>
  </si>
  <si>
    <t>□ Разные режимы связаны общими проверками, а не четырьмя независимыми планами.</t>
  </si>
  <si>
    <t>На С01 вы оцениваете предыдущую попытку и предлагаете первое управленческое действие для новой. На С02 разбираете права решений. Далее</t>
  </si>
  <si>
    <t>Переход: В С04 используйте выбранный способ управления как часть обоснования. Он остаётся рекомендацией команды, а не единственно</t>
  </si>
  <si>
    <t>верным ответом автора.</t>
  </si>
  <si>
    <t>выбираете подход, готовите обоснование, связываете требования с работами, рассчитываете варианты и оцениваете новые состояния проекта.</t>
  </si>
  <si>
    <t>Выданные сведения · читать перед решением</t>
  </si>
  <si>
    <t>D03 · Контекст выбора подхода</t>
  </si>
  <si>
    <t>Новые события выдаются как общие учебные вводные с датой и версией. Они не являются автоматически последствиями решения вашей команды.</t>
  </si>
  <si>
    <t>Ранняя фаза новой попытки.</t>
  </si>
  <si>
    <t>Свои рекомендации сохраняйте: при переходе к общей вводной можно сравнить их с принятым в упражнении сценарием. Для расчётной сети или</t>
  </si>
  <si>
    <t>Сведения ниже — условия учебного решения. Для неизвестного выберите рабочее допущение и проверку, а не остановку заполнения.</t>
  </si>
  <si>
    <t>отдельного журнала метрик будет прямо указано, что это учебная модель и какие выводы можно переносить на UniFlow.</t>
  </si>
  <si>
    <t>Обязательная SSO-интеграция — вход через вузовскую учётную запись. Дополнительный автоматический обмен с внешним реестром учебных</t>
  </si>
  <si>
    <t>В ответе указывайте код факта или показатель, объясняйте ход рассуждения и отмечайте неизвестное. Недостаток данных допустимо</t>
  </si>
  <si>
    <t>проектов — отдельный объект.</t>
  </si>
  <si>
    <t>Согласованная дата ограничивает все контуры. Режим работы должен также учитывать устойчивость решения и стоимость обратной связи.</t>
  </si>
  <si>
    <t>обнаружить; если задание требует решения, предложите соразмерное ему действие по получению сведений или условное решение. Не нужно</t>
  </si>
  <si>
    <t>С04 · Обоснование и разрешение начать UniFlow</t>
  </si>
  <si>
    <t>Четыре контура</t>
  </si>
  <si>
    <t>заполнять пробел удобной догадкой и выдавать её за установленное обстоятельство.</t>
  </si>
  <si>
    <t>Краткая справка</t>
  </si>
  <si>
    <t>Известные условия</t>
  </si>
  <si>
    <t>Что ещё требуется выяснить</t>
  </si>
  <si>
    <t>Параметр</t>
  </si>
  <si>
    <t>Значение</t>
  </si>
  <si>
    <t>Хостинг и базовые ограничения доступа определены; поздний перенос среды потребует повторной настройки и проверки. Инженер эксплуатации может участвовать в еженедельной проверке.</t>
  </si>
  <si>
    <t>Продукт</t>
  </si>
  <si>
    <t>Система сопровождения учебных проектов</t>
  </si>
  <si>
    <t>С05 · От потребности к работе и доказательству</t>
  </si>
  <si>
    <t>Достаточность типовой конфигурации под нагрузку и восстановление.</t>
  </si>
  <si>
    <t>Пилот</t>
  </si>
  <si>
    <t>Два направления; 500 студентов; 60 руководителей; 6 администраторов</t>
  </si>
  <si>
    <t>Ограничения нового проекта</t>
  </si>
  <si>
    <t>Точный порядок действий пользователя не проверен. Представители команд и руководителей готовы смотреть короткий прототип раз в неделю. Команда умеет быстро изменять веб-интерфейс.</t>
  </si>
  <si>
    <t>4,8 млн рублей; начало пилота 1 декабря 2026 года</t>
  </si>
  <si>
    <t>Какие шаги пользователи выполняют без помощи; какие поля им нужны.</t>
  </si>
  <si>
    <t>Контроль эффекта</t>
  </si>
  <si>
    <t>Первые четыре недели пилота; срез 28 декабря 2026 года</t>
  </si>
  <si>
    <t>Согласован интерфейс SSO; у команды ограничен опыт работы с ним. Совместная проверка с внешней интеграционной командой возможна раз в 14 календарных дней. Дополнительный обмен имеет отдельный контракт данных.</t>
  </si>
  <si>
    <t>M01 Видимость состояния</t>
  </si>
  <si>
    <t>Исходный замер не выполнен; цель ≥90%</t>
  </si>
  <si>
    <t>Положительные и отрицательные сценарии SSO; готовность внешнего обмена.</t>
  </si>
  <si>
    <t>M02 Просроченные контрольные точки</t>
  </si>
  <si>
    <t>22% → ≤10%</t>
  </si>
  <si>
    <t>Права ролей и обязательность контроля заранее определены. Конкретные ошибки реализации заранее неизвестны. Полный первоначальный цикл проверки закладывается как 10 рабочих дней. ИБ может рассматривать изменения правил доступа раньше итогового цикла.</t>
  </si>
  <si>
    <t>M03 Ручная сверка</t>
  </si>
  <si>
    <t>Применимые проверки, сроки промежуточных консультаций и состав доказательств.</t>
  </si>
  <si>
    <t>25 → ≤12 минут на одну учебную команду за неделю</t>
  </si>
  <si>
    <t>M04 Удовлетворённость</t>
  </si>
  <si>
    <t>Исходный замер не выполнен; цель ≥4,0 из 5</t>
  </si>
  <si>
    <t>Прошлая попытка</t>
  </si>
  <si>
    <t>Факты U01–U04 и наблюдения E01–E04 этого описания</t>
  </si>
  <si>
    <t>Отделить обоснование выбора от полномочий, которыми разрешён конкретный проект.</t>
  </si>
  <si>
    <t>Права решений</t>
  </si>
  <si>
    <t>Каталог P01–P06 этого описания</t>
  </si>
  <si>
    <t>Состояние: Рекомендация перед авторизацией новой попытки. Для дальнейших общих упражнений принято учебное решение: 1 октября куратор</t>
  </si>
  <si>
    <t>авторизовал UniFlow с бюджетом 4,8 млн ₽ и пилотом 1 декабря. Вы вправе рекомендовать другой вариант; будущие общие вводные не</t>
  </si>
  <si>
    <t>Источник исходного замысла — материалы курса УПП версии 7. UniFlow и приведённые ситуации вымышлены и предназначены для обучения.</t>
  </si>
  <si>
    <t>становятся последствиями вашей рекомендации.</t>
  </si>
  <si>
    <t>Проверить, что работа создаёт нужное свойство, а критерий действительно проверяет исходную потребность.</t>
  </si>
  <si>
    <t>Определения, наблюдения и границы учебных моделей уточнены в редакции 8; используйте их последовательно во всех связанных заданиях.</t>
  </si>
  <si>
    <t>Состояние: Новая попытка после авторизации. Подробная модель содержания — рекомендация команды; четыре общих требования D05 нужны для</t>
  </si>
  <si>
    <t>Задание: Таблица четырёх вариантов и устав на одной–двух читаемых страницах. Ограничение «не более 120 слов» снято; отдельные большие</t>
  </si>
  <si>
    <t>сопоставимого упражнения.</t>
  </si>
  <si>
    <t>Задание: Четыре проверенные связи и модель содержания с одной детализацией. Второй полный backlog наряду с ИСР не требуется.</t>
  </si>
  <si>
    <t>журналы ради формы не требуются.</t>
  </si>
  <si>
    <t>Четыре исходные фразы: быстрая регистрация; своевременная обратная связь; актуальная панель; безопасный и удобный доступ.</t>
  </si>
  <si>
    <t>D05 содержит ответы владельца продукта, предложенные критерии и условия проверки. Число 500 — объём учётных записей, а не число</t>
  </si>
  <si>
    <t>Описание новой попытки и краткий паспорт: 2 направления, 500 студентов, 60 руководителей, 6 администраторов; четыре функции и</t>
  </si>
  <si>
    <t>одновременных пользователей.</t>
  </si>
  <si>
    <t>Границы устава С04. Дополнительный внешний обмен и SSO — разные объекты; не называйте их одним требованием «интеграция».</t>
  </si>
  <si>
    <t>исключения.</t>
  </si>
  <si>
    <t>D04: четыре альтернативы с известными ограничениями и неизвестной полной стоимостью. Числа закупочного примера С08 относятся к</t>
  </si>
  <si>
    <t>Проверка требований</t>
  </si>
  <si>
    <t>отдельному модулю, их нельзя применять к стоимости всего UniFlow.</t>
  </si>
  <si>
    <t>Исходная фраза</t>
  </si>
  <si>
    <t>Пробел</t>
  </si>
  <si>
    <t>Уточнение / оставшийся вопрос</t>
  </si>
  <si>
    <t>Работы С01–С03: различение успеха, полномочия и подход. Точные определения показателей берите из общего словаря кейса.</t>
  </si>
  <si>
    <t>Регистрация</t>
  </si>
  <si>
    <t>Панель</t>
  </si>
  <si>
    <t>Доступ</t>
  </si>
  <si>
    <t>Альтернативы</t>
  </si>
  <si>
    <t>Модель содержания</t>
  </si>
  <si>
    <t>Вариант</t>
  </si>
  <si>
    <t>ID</t>
  </si>
  <si>
    <t>Покрытие проблемы</t>
  </si>
  <si>
    <t>Результат / пакет работ</t>
  </si>
  <si>
    <t>Срок и реализуемость</t>
  </si>
  <si>
    <t>Граница</t>
  </si>
  <si>
    <t>Критерий завершения</t>
  </si>
  <si>
    <t>Стоимость: известно / требуется</t>
  </si>
  <si>
    <t>Зависимость и риск</t>
  </si>
  <si>
    <t>Вывод</t>
  </si>
  <si>
    <t>Ничего не менять</t>
  </si>
  <si>
    <t>Изменить процесс</t>
  </si>
  <si>
    <t>Купить</t>
  </si>
  <si>
    <t>Создать</t>
  </si>
  <si>
    <t>Устав</t>
  </si>
  <si>
    <t>Согласованное содержание / ссылка на решение</t>
  </si>
  <si>
    <t>Цель и критерии эффекта</t>
  </si>
  <si>
    <t>Трассировка</t>
  </si>
  <si>
    <t>Результат</t>
  </si>
  <si>
    <t>Потребность</t>
  </si>
  <si>
    <t>Проверяемое требование</t>
  </si>
  <si>
    <t>Работа</t>
  </si>
  <si>
    <t>Границы и исключения</t>
  </si>
  <si>
    <t>Проверка и доказательство</t>
  </si>
  <si>
    <t>REQ-REG</t>
  </si>
  <si>
    <t>REQ-FBK</t>
  </si>
  <si>
    <t>Бюджет и дата</t>
  </si>
  <si>
    <t>REQ-DASH</t>
  </si>
  <si>
    <t>REQ-ACC</t>
  </si>
  <si>
    <t>Две промежуточные вехи</t>
  </si>
  <si>
    <t>Критерии допуска</t>
  </si>
  <si>
    <t>Граница изменения</t>
  </si>
  <si>
    <t>Полномочия P01–P06 / ссылка</t>
  </si>
  <si>
    <t>Просьба</t>
  </si>
  <si>
    <t>Уточнение / изменение</t>
  </si>
  <si>
    <t>Основание и уполномоченный</t>
  </si>
  <si>
    <t>Главные допущения и проверка</t>
  </si>
  <si>
    <t>Допустимое уточнение</t>
  </si>
  <si>
    <t>Изменение основы</t>
  </si>
  <si>
    <t>Решение и допущения</t>
  </si>
  <si>
    <t>Рекомендация или допущение</t>
  </si>
  <si>
    <t>1. Для каждой исходной фразы назовите один существенный пробел и покажите, как ответ D05 его устраняет либо какой вопрос остался.</t>
  </si>
  <si>
    <t>Владелец</t>
  </si>
  <si>
    <t>2. Соберите ИСР верхнего уровня для согласованного проекта; достаточно 5–7 результатов. Детализируйте один результат до управляемых</t>
  </si>
  <si>
    <t>Срок проверки</t>
  </si>
  <si>
    <t>пакетов работ. Все согласованные результаты должны иметь место; количество нижних элементов не нормируется.</t>
  </si>
  <si>
    <t>3. Для четырёх потребностей заполните связь: требование / критерий → работа → доказательство. Проверьте не только пустые клетки, но и</t>
  </si>
  <si>
    <t>смысл соответствия.</t>
  </si>
  <si>
    <t>4. Отметьте одну просьбу, которая укладывается в уточнение, и одну, которая меняет границы. Объясните, к кому пойдёт решение.</t>
  </si>
  <si>
    <t>□ Порог отвечает именно исходной потребности: сохранность данных не доказывает своевременность.</t>
  </si>
  <si>
    <t>□ Проверка называет условия и наблюдаемое свидетельство.</t>
  </si>
  <si>
    <t>□ В модели нет повторного учёта; нужная управленческая, проверочная и эксплуатационная работа не потеряна.</t>
  </si>
  <si>
    <t>□ Дополнительная функция не добавлена молча.</t>
  </si>
  <si>
    <t>Переход: С06 использует общую учебную сеть A–D для расчётов, а не автоматически превращает разные ИСР команд в одинаковое расписание. Своя</t>
  </si>
  <si>
    <t>ИСР сохраняется.</t>
  </si>
  <si>
    <t>1. Сформулируйте одну наблюдаемую проблему текущего процесса. Отделите измеренный факт, желаемое изменение и предполагаемую причину.</t>
  </si>
  <si>
    <t>2. Сравните четыре альтернативы по одинаковым основаниям: покрытие проблемы, реализуемость к пилоту, расходы и зависимость от внешних</t>
  </si>
  <si>
    <t>D05 · Уточнения требований и условия приёмки</t>
  </si>
  <si>
    <t>сторон. Неизвестную стоимость обозначьте как неизвестную и назовите данные для оценки.</t>
  </si>
  <si>
    <t>Общие учебные ответы владельца продукта для С05; они заменяют неверные пары в прежней матрице.</t>
  </si>
  <si>
    <t>3. Подготовьте рекомендацию: вариант, существенное допущение, проверка до авторизации. Можно рекомендовать условный запуск или возврат</t>
  </si>
  <si>
    <t>на доработку.</t>
  </si>
  <si>
    <t>4. Заполните устав: цель; результат; границы и исключения; бюджет и дата; две промежуточные вехи с доказательствами; критерии успеха;</t>
  </si>
  <si>
    <t>права шести решений из С02.</t>
  </si>
  <si>
    <t>Имеющиеся числа 3 минуты и 500 студентов сохранены. Остальные уточнения ниже добавлены автором для проверяемого упражнения.</t>
  </si>
  <si>
    <t>5. Проверьте, что выбранные границы, подход, вехи и полномочия не противоречат друг другу. Не переписывайте уже заполненные разделы</t>
  </si>
  <si>
    <t>Срок подготовки ответа руководителем и задержка доставки уже отправленного ответа — разные величины. Программа не может сама</t>
  </si>
  <si>
    <t>С02–С03: укажите их имена и измените только необходимое.</t>
  </si>
  <si>
    <t>гарантировать, что человек ответит вовремя.</t>
  </si>
  <si>
    <t>□ Проблема не подменена названием системы.</t>
  </si>
  <si>
    <t>Под сохранностью статуса понимается отсутствие потери подтверждённого изменения; это отдельное свойство надёжности/целостности, оно не</t>
  </si>
  <si>
    <t>□ Альтернативы сопоставлены по общим основаниям; пробелы данных не скрыты выдуманными оценками.</t>
  </si>
  <si>
    <t>заменяет актуальность панели.</t>
  </si>
  <si>
    <t>Уточнённые связи</t>
  </si>
  <si>
    <t>□ Устав разрешает определённую работу в определённых границах.</t>
  </si>
  <si>
    <t>ID / потребность</t>
  </si>
  <si>
    <t>Требование и критерий</t>
  </si>
  <si>
    <t>Условия / доказательство</t>
  </si>
  <si>
    <t>□ Критерии проверяемы, а полномочия согласованы с С02.</t>
  </si>
  <si>
    <t>Пример работы</t>
  </si>
  <si>
    <t>Переход: Это комплект КТ-1: вывод С01, решения С02, подход С03, обоснование и устав С04. Один и тот же текст не требуется дублировать</t>
  </si>
  <si>
    <t>REQ-REG / быстрая регистрация</t>
  </si>
  <si>
    <t>Не менее 9 из 10 представителей команд впервые создают корректную карточку команды без помощи за 3 минуты или меньше.</t>
  </si>
  <si>
    <t>на нескольких листах.</t>
  </si>
  <si>
    <t>Тестовые учётные записи с готовыми вузовскими идентификаторами; одинаковое задание; время от открытия формы до подтверждения; журнал ошибок.</t>
  </si>
  <si>
    <t>Форма и проверка состава команды; пользовательская проверка и исправление выявленных препятствий.</t>
  </si>
  <si>
    <t>REQ-FBK / своевременная обратная связь</t>
  </si>
  <si>
    <t>Уже отправленный руководителем отзыв доступен команде не позднее чем через 1 минуту. Учебное правило подготовки отзыва — 2 рабочих дня после контрольной точки; просрочка подготовки отслеживается отдельно.</t>
  </si>
  <si>
    <t>Сценарий «руководитель отправил → команда видит» с синхронными часами; отдельно журнал сроков ответов руководителей.</t>
  </si>
  <si>
    <t>Определите работу самостоятельно и проверьте её связь с выданным критерием.</t>
  </si>
  <si>
    <t>D04 · Вводная для сравнения четырёх альтернатив</t>
  </si>
  <si>
    <t>REQ-DASH / актуальная сводка</t>
  </si>
  <si>
    <t>Подтверждённое изменение статуса появляется в панели координатора не позднее 5 минут. В сводку входят все записи из набора на 500 студентов согласно правам доступа.</t>
  </si>
  <si>
    <t>Рекомендация перед авторизацией.</t>
  </si>
  <si>
    <t>Изменить заданные статусы, зафиксировать время и сравнить сводку с исходным набором; 500 записей не означают 500 одновременных запросов.</t>
  </si>
  <si>
    <t>REQ-ACC / безопасный и удобный доступ</t>
  </si>
  <si>
    <t>Вход через SSO; разрешены только операции из согласованной матрицы ролей. Попытка команды читать или менять закрытые данные другой команды отклоняется.</t>
  </si>
  <si>
    <t>До выбора не известна полная стоимость каждого варианта. 4,8 млн ₽ — потолок финансирования предлагаемой новой попытки, а не четыре</t>
  </si>
  <si>
    <t>Набор тестовых аккаунтов по ролям; положительные и отрицательные сценарии; журналы результата без настоящих персональных данных.</t>
  </si>
  <si>
    <t>готовые оценки.</t>
  </si>
  <si>
    <t>Дополнительные общие критерии для качества</t>
  </si>
  <si>
    <t>Исходные измерения текущего процесса и цели берутся из общего описания и словаря кейса. Не используйте данные прошлого портала как</t>
  </si>
  <si>
    <t>Критерий</t>
  </si>
  <si>
    <t>PERF-01</t>
  </si>
  <si>
    <t>95-й процентиль ответа панели не более 2 секунд при 50 одновременных виртуальных пользователях и 500 студенческих записях на согласованном тестовом стенде.</t>
  </si>
  <si>
    <t>исходный замер нового проекта.</t>
  </si>
  <si>
    <t>Учебный порог производительности для С09; размер данных и конкурентная нагрузка заданы отдельно.</t>
  </si>
  <si>
    <t>REL-01</t>
  </si>
  <si>
    <t>Восстановление согласованного тестового набора из резервной копии занимает не более 60 минут; подтверждённые данные не теряются при проверенных сценариях обновления.</t>
  </si>
  <si>
    <t>Учебный порог восстановления; состав и допустимая точка копии указываются в протоколе.</t>
  </si>
  <si>
    <t>Четыре строки ниже задают различия вариантов. Дополнительные предположения допускаются, если команда указывает, как проверить их до</t>
  </si>
  <si>
    <t>решения.</t>
  </si>
  <si>
    <t>Варианты</t>
  </si>
  <si>
    <t>С06 · Сеть, ресурсы и прогноз</t>
  </si>
  <si>
    <t>Что меняется</t>
  </si>
  <si>
    <t>С07 · Кто выполняет работу и как разрешается конфликт</t>
  </si>
  <si>
    <t>Что не подтверждено</t>
  </si>
  <si>
    <t>Сохраняются действующие инструменты и способы взаимодействия; целенаправленное изменение процесса не проводится.</t>
  </si>
  <si>
    <t>Нельзя утверждать, что метрики непременно останутся прежними; требуется объяснить цену сохранения известных проблем.</t>
  </si>
  <si>
    <t>Изменить процесс без разработки</t>
  </si>
  <si>
    <t>Единые правила статусов и обратной связи, назначенные ответственные, согласованный формат ручной сводки в доступных инструментах.</t>
  </si>
  <si>
    <t>Величина эффекта и трудозатраты сопровождения нового регламента.</t>
  </si>
  <si>
    <t>Купить решение</t>
  </si>
  <si>
    <t>Кандидат должен обеспечить согласованные пользовательские сценарии, ролевой доступ, SSO и перенос необходимых данных.</t>
  </si>
  <si>
    <t>Готового коммерческого предложения, проверки соответствия и полной цены владения пока нет.</t>
  </si>
  <si>
    <t>Создать решение</t>
  </si>
  <si>
    <t>Разработать согласованный веб-сервис UniFlow с обязательными функциями и передачей в эксплуатацию.</t>
  </si>
  <si>
    <t>Оценка работ и подтверждение пользовательских сценариев ещё требуют проверки.</t>
  </si>
  <si>
    <t>Согласовать участие в работе с правами решений и провести спор по данным и полномочиям.</t>
  </si>
  <si>
    <t>Вычислить дату по связям и объяснить, почему ресурсное решение меняет эту дату.</t>
  </si>
  <si>
    <t>Состояние: Рабочая модель взаимодействия новой попытки. Роли кейса не равны ролям студентов за столом: студент</t>
  </si>
  <si>
    <t>Состояние: Отдельная расчётная модель A–D на UniFlow. Дни от 0 — рабочее время модели, не календарь всего</t>
  </si>
  <si>
    <t>может разыгрывать несколько участников.</t>
  </si>
  <si>
    <t>проекта. Три сценария ниже независимы и сохраняются отдельно.</t>
  </si>
  <si>
    <t>Задание: Шесть строк RACI, пять правил и один короткий протокол. Полная повторная карта влияния С02 не нужна, если</t>
  </si>
  <si>
    <t>Задание: На листе С06_Расписание: проверенная логическая сеть, сравнение ресурсных вариантов, отдельный</t>
  </si>
  <si>
    <t>отношения не изменились.</t>
  </si>
  <si>
    <t>прогноз при изменении C и рекомендация до 100 слов. Обязательная сдача — один читаемый PDF с этими</t>
  </si>
  <si>
    <t>Шесть результатов заданы в D07: уточнённые требования; подготовленная интеграция SSO; отчёт безопасности;</t>
  </si>
  <si>
    <t>результатами через московскую F01. Книга XLSX или собственный .pod прилагается как необязательный</t>
  </si>
  <si>
    <t>подтверждённое восстановление; обученная поддержка; пакет выпуска.</t>
  </si>
  <si>
    <t>исходник.</t>
  </si>
  <si>
    <t>Права решений С02 сохраняются. RACI распределяет работу и ответственность за её результат; буква A не создаёт</t>
  </si>
  <si>
    <t>D06: A=3; B=5 после A; C=8 после A; D=10 после B и C; связи окончание–начало без лагов. Длительности</t>
  </si>
  <si>
    <t>права изменить бюджет или отменить запрет ИБ.</t>
  </si>
  <si>
    <t>заданы; PERT в обязательный минимум не входит.</t>
  </si>
  <si>
    <t>Конфликт D07: дополнительный отчёт требует 2 дня того же специалиста, обязательное исправление доступа — 2 дня; до</t>
  </si>
  <si>
    <t>Первый сценарий — только логическая сеть без ограничения общей занятости; второй — один инженер на B и C;</t>
  </si>
  <si>
    <t>контрольной точки у него 2 доступных дня. Отчёт полезен, но не входит в обязательный минимум пилота.</t>
  </si>
  <si>
    <t>третий — независимая проверка изменения C при доступных разных ресурсах.</t>
  </si>
  <si>
    <t>RACI</t>
  </si>
  <si>
    <t>Основной рабочий инструмент — лист С06_Расписание. Все длительности, зависимости и расчёты находятся в</t>
  </si>
  <si>
    <t>книге. Дополнительно можно воспроизвести сеть в ProjectLibre.</t>
  </si>
  <si>
    <t>РП</t>
  </si>
  <si>
    <t>Техлид</t>
  </si>
  <si>
    <t>Логическая сеть</t>
  </si>
  <si>
    <t>Уточнённые требования</t>
  </si>
  <si>
    <t>Длительность</t>
  </si>
  <si>
    <t>Предшественники</t>
  </si>
  <si>
    <t>Подготовленная SSO-интеграция</t>
  </si>
  <si>
    <t>ES</t>
  </si>
  <si>
    <t>EF</t>
  </si>
  <si>
    <t>LS</t>
  </si>
  <si>
    <t>LF</t>
  </si>
  <si>
    <t>TF</t>
  </si>
  <si>
    <t>FF</t>
  </si>
  <si>
    <t>Отчёт безопасности</t>
  </si>
  <si>
    <t>A</t>
  </si>
  <si>
    <t>Подтверждённое восстановление</t>
  </si>
  <si>
    <t>Обученная поддержка</t>
  </si>
  <si>
    <t>—</t>
  </si>
  <si>
    <t>Пакет выпуска</t>
  </si>
  <si>
    <t>Правила команды</t>
  </si>
  <si>
    <t>Ситуация</t>
  </si>
  <si>
    <t>Наблюдаемое действие</t>
  </si>
  <si>
    <t>Как проверяем</t>
  </si>
  <si>
    <t>Доступ к файлу</t>
  </si>
  <si>
    <t>Фиксация решения</t>
  </si>
  <si>
    <t>Сообщение о риске</t>
  </si>
  <si>
    <t>Несогласие</t>
  </si>
  <si>
    <t>Возвращение после отсутствия</t>
  </si>
  <si>
    <t>Протокол конфликта</t>
  </si>
  <si>
    <t>Интересы и факты</t>
  </si>
  <si>
    <t>Варианты и последствия</t>
  </si>
  <si>
    <t>Решение / полномочие</t>
  </si>
  <si>
    <t>Действие и проверка</t>
  </si>
  <si>
    <t>1. Назначьте R, A, C, I для шести результатов и шести ролей: куратор, РП, владелец продукта, техлид, ИБ,</t>
  </si>
  <si>
    <t>эксплуатация. Для каждого результата ровно один A и хотя бы один R; один человек может сочетать A/R, если это</t>
  </si>
  <si>
    <t>С08 · Стоимость, два прогноза и выбор способа получить модуль</t>
  </si>
  <si>
    <t>объяснимо.</t>
  </si>
  <si>
    <t>2. Проверьте два наиболее загруженных участника и одну зависимость согласования. Не добавляйте C всем «на всякий</t>
  </si>
  <si>
    <t>случай».</t>
  </si>
  <si>
    <t>3. Примите пять наблюдаемых правил вашей реальной учебной команды: доступ к файлу; фиксация решения; сообщение о</t>
  </si>
  <si>
    <t>риске; несогласие; восстановление после отсутствия. Для каждого назовите действие и проверку.</t>
  </si>
  <si>
    <t>4. Разыграйте конфликт. Разделите интересы, факты и предположения; рассмотрите два варианта; определите допустимое</t>
  </si>
  <si>
    <t>решение, уполномоченного, владельца действия и момент проверки.</t>
  </si>
  <si>
    <t>□ Ответственность за работу не подменяет право авторизации и допуска.</t>
  </si>
  <si>
    <t>□ Конфликт учитывает реальную доступность одного специалиста.</t>
  </si>
  <si>
    <t>□ Правила можно наблюдать; «работать ответственно» без действия недостаточно.</t>
  </si>
  <si>
    <t>Числовые вводные ↓</t>
  </si>
  <si>
    <t>□ Несогласие разобрано по решению и фактам, без оценки личности.</t>
  </si>
  <si>
    <t>Переход: RACI и протокол поддерживают последующие решения о рисках и выпуске; полномочия не назначаются заново на</t>
  </si>
  <si>
    <t>Разделить показатели состояния, условный прогноз и экономический выбор.</t>
  </si>
  <si>
    <t>каждом семинаре.</t>
  </si>
  <si>
    <t>Состояние: Часть 1: общий срез UniFlow на 15 ноября, версия 0.8. Часть 2: отдельное расчётное сравнение способов получить модуль</t>
  </si>
  <si>
    <t>панели координатора; это не незаявленная замена плана всего проекта.</t>
  </si>
  <si>
    <t>Задание: Расчётный лист, две проверяемые гипотезы и одна условная рекомендация. Новый временной бюджет всего проекта на этом семинаре</t>
  </si>
  <si>
    <t>не строится.</t>
  </si>
  <si>
    <t>D08-EVM: PV=2,4; EV=2,0; AC=2,5; BAC=4,8 млн ₽ на одну дату и в одной базе.</t>
  </si>
  <si>
    <t>D08-BUY: одинаковый объём возможностей модуля и горизонт 12 месяцев эксплуатации после его доступности. Сроки 8 и 5 недель</t>
  </si>
  <si>
    <t>отсчитываются от условного решения о модуле, а не от 15 ноября до 1 декабря.</t>
  </si>
  <si>
    <t>Цена задержки 0,12 млн ₽/неделю — заданная учебная оценка экономического эффекта. Денежные затраты владения и цену задержки покажите</t>
  </si>
  <si>
    <t>раздельно, затем сравните их сумму.</t>
  </si>
  <si>
    <t>Состояние и прогноз</t>
  </si>
  <si>
    <t>Показатель / сценарий</t>
  </si>
  <si>
    <t>D07 · Работы, роли и один разрешимый конфликт</t>
  </si>
  <si>
    <t>Формула</t>
  </si>
  <si>
    <t>Значение и единица</t>
  </si>
  <si>
    <t>Смысл / допущение</t>
  </si>
  <si>
    <t>SV</t>
  </si>
  <si>
    <t>Задание о взаимодействии, без требования угадать скрытые назначения.</t>
  </si>
  <si>
    <t>EV − PV, млн ₽</t>
  </si>
  <si>
    <t>Результаты для RACI: 1) уточнённые требования; 2) подготовленная SSO-интеграция; 3) отчёт по безопасности; 4)</t>
  </si>
  <si>
    <t>подтверждённое восстановление; 5) обученная поддержка; 6) пакет выпуска.</t>
  </si>
  <si>
    <t>Куратор распоряжается границами авторизации; владелец продукта управляет приоритетом; РП координирует план и</t>
  </si>
  <si>
    <t>B</t>
  </si>
  <si>
    <t>готовит изменения; технический руководитель организует техническую работу; ИБ проверяет и принимает допустимый</t>
  </si>
  <si>
    <t>риск в своей области; эксплуатация отвечает за допуск и устойчивую работу.</t>
  </si>
  <si>
    <t>RACI — проект предлагаемого распределения работы. Назначения нужно согласовать с этими полномочиями и доступной</t>
  </si>
  <si>
    <t>компетенцией, но несколько вариантов распределения подготовки допустимы.</t>
  </si>
  <si>
    <t>Конфликт: до контрольной точки остаётся 2 рабочих дня специалиста. Обязательное исправление доступа занимает 2</t>
  </si>
  <si>
    <t>дня. Новый отчёт, полезный владельцу продукта, тоже занимает 2 дня того же специалиста. Другой специалист и</t>
  </si>
  <si>
    <t>сокращение длительности не подтверждены. Отчёт не входит в обязательный минимум пилота; дату команда сама не</t>
  </si>
  <si>
    <t>меняет.</t>
  </si>
  <si>
    <t>CV</t>
  </si>
  <si>
    <t>Допустимые направления решения: выполнить обязательное исправление и отложить отчёт с решением владельца продукта;</t>
  </si>
  <si>
    <t>EV − AC, млн ₽</t>
  </si>
  <si>
    <t>запросить перенос даты / дополнительный подтверждённый ресурс у куратора. Обещать обе работы за два дня без новых</t>
  </si>
  <si>
    <t>данных нельзя.</t>
  </si>
  <si>
    <t>Источник задания: «Карточки С01–С13», редакция 8. Все сведения кейса — на листе «Кейс» и во вводной этого</t>
  </si>
  <si>
    <t>семинара.</t>
  </si>
  <si>
    <t>SPI</t>
  </si>
  <si>
    <t>EV / PV, коэффициент</t>
  </si>
  <si>
    <t>CPI</t>
  </si>
  <si>
    <t>EV / AC, коэффициент</t>
  </si>
  <si>
    <t>Используйте прежнее решение как основание. Новая общая вводная не является автоматически последствием вашей</t>
  </si>
  <si>
    <t>рекомендации.</t>
  </si>
  <si>
    <t>C</t>
  </si>
  <si>
    <t>С09 · Достаточно ли доказательств для допуска версии</t>
  </si>
  <si>
    <t>EAC: разовое отклонение</t>
  </si>
  <si>
    <t>AC + BAC − EV, млн ₽</t>
  </si>
  <si>
    <t>EAC: CPI сохраняется</t>
  </si>
  <si>
    <t>BAC / CPI, млн ₽</t>
  </si>
  <si>
    <t>Причины и проверка</t>
  </si>
  <si>
    <t>Принять обоснованное решение о допуске по свидетельствам конкретной версии.</t>
  </si>
  <si>
    <t>Гипотеза</t>
  </si>
  <si>
    <t>Различающее свидетельство</t>
  </si>
  <si>
    <t>Владелец запроса</t>
  </si>
  <si>
    <t>Основная гипотеза</t>
  </si>
  <si>
    <t>Состояние: 20 ноября, UniFlow 0.9. Общие факты сохранены: 96% проверок пройдено; два критичных дефекта открыты; восстановление не</t>
  </si>
  <si>
    <t>Альтернативная гипотеза</t>
  </si>
  <si>
    <t>проверено; поддержка не обучена.</t>
  </si>
  <si>
    <t>Экономический выбор</t>
  </si>
  <si>
    <t>Затраты владения</t>
  </si>
  <si>
    <t>Цена ожидания</t>
  </si>
  <si>
    <t>Задание: Карта пяти свойств и решение о допуске. Разработка программы и проведение настоящих испытаний не требуются: оцениваются</t>
  </si>
  <si>
    <t>Общая стоимость</t>
  </si>
  <si>
    <t>Срок</t>
  </si>
  <si>
    <t>Риск</t>
  </si>
  <si>
    <t>MAKE</t>
  </si>
  <si>
    <t>выданные свидетельства и план недостающих проверок.</t>
  </si>
  <si>
    <t>D09: выдержки из протоколов и карточки дефектов. Это учебные документы, а не результаты работы вашей команды.</t>
  </si>
  <si>
    <t>Пять рассматриваемых свойств: функциональная пригодность, производительность, безопасность, надёжность и удобство взаимодействия. Это</t>
  </si>
  <si>
    <t>выбранные для упражнения свойства; модель ISO/IEC 25010:2023 шире.</t>
  </si>
  <si>
    <t>Правило допуска кейса: открытые критичные дефекты доступа/целостности, отсутствие подтверждённого восстановления или готовой</t>
  </si>
  <si>
    <t>поддержки блокируют допуск. Условия будущего допуска не равны разрешению начать эксплуатацию сейчас.</t>
  </si>
  <si>
    <t>Карта доказательств</t>
  </si>
  <si>
    <t>D</t>
  </si>
  <si>
    <t>B, C</t>
  </si>
  <si>
    <t>Свойство</t>
  </si>
  <si>
    <t>Документ / версия</t>
  </si>
  <si>
    <t>Что подтверждено</t>
  </si>
  <si>
    <t>Пробел / риск</t>
  </si>
  <si>
    <t>Функциональная пригодность</t>
  </si>
  <si>
    <t>Производительность</t>
  </si>
  <si>
    <t>Надёжность</t>
  </si>
  <si>
    <t>BUY: интеграция 0,40</t>
  </si>
  <si>
    <t>Удобство взаимодействия</t>
  </si>
  <si>
    <t>Контрольная точка</t>
  </si>
  <si>
    <t>Условие / проверка</t>
  </si>
  <si>
    <t>Когда предъявить</t>
  </si>
  <si>
    <t>Решение при неуспехе</t>
  </si>
  <si>
    <t>BUY: интеграция 0,25</t>
  </si>
  <si>
    <t>Допуск</t>
  </si>
  <si>
    <t>BUY: интеграция 0,55</t>
  </si>
  <si>
    <t>Решение сейчас</t>
  </si>
  <si>
    <t>Уполномоченный</t>
  </si>
  <si>
    <t>Условия повторного рассмотрения</t>
  </si>
  <si>
    <t>Ресурсный выбор</t>
  </si>
  <si>
    <t>Рекомендация</t>
  </si>
  <si>
    <t>Порог смены</t>
  </si>
  <si>
    <t>Допущение</t>
  </si>
  <si>
    <t>Последовательность и загрузка</t>
  </si>
  <si>
    <t>Следующее действие</t>
  </si>
  <si>
    <t>Допущение / риск</t>
  </si>
  <si>
    <t>Логическая база</t>
  </si>
  <si>
    <t>1. Сопоставьте каждое свидетельство со свойством, версией и критерием. Для каждого из пяти свойств отметьте: подтверждено;</t>
  </si>
  <si>
    <t>И1 выполняет последовательно</t>
  </si>
  <si>
    <t>1. Проверьте SV, CV, SPI и CPI. Для каждого назовите смысл; SV в деньгах не превращайте напрямую в дни задержки.</t>
  </si>
  <si>
    <t>опровергнуто; данных недостаточно.</t>
  </si>
  <si>
    <t>2. Воспроизведите два EAC: разовое отклонение и сохранение CPI. Это условные сценарии, а не доверительный интервал. Назовите данные,</t>
  </si>
  <si>
    <t>позволяющие предпочесть один сценарий.</t>
  </si>
  <si>
    <t>2. Выберите три наиболее существенных пробела или несоответствия. Назовите нужную проверку, условия, владельца и событие повторного</t>
  </si>
  <si>
    <t>3. Выберите основную и альтернативную гипотезу из списка: сложность недооценена; ресурс перегружен; работа расширена без разрешения;</t>
  </si>
  <si>
    <t>рассмотрения.</t>
  </si>
  <si>
    <t>разовая закупка. Укажите разные свидетельства, которые отличат их. Угадать истинную причину из четырёх чисел нельзя.</t>
  </si>
  <si>
    <t>И1/И2 после передачи</t>
  </si>
  <si>
    <t>3. Сформулируйте решение на текущую дату и отдельно условия будущего решения. Не заменяйте отсутствующие проверки утверждениями</t>
  </si>
  <si>
    <t>4. Сравните собственную разработку и покупку по D08-BUY. Найдите стоимость владения, цену ожидания и общую экономическую стоимость.</t>
  </si>
  <si>
    <t>Рассчитайте порог стоимости интеграции и проверьте три значения.</t>
  </si>
  <si>
    <t>5. Дайте рекомендацию при базовых числах и укажите условие смены решения. Не складывайте цену выбранного модуля с EAC без информации о</t>
  </si>
  <si>
    <t>«успешно».</t>
  </si>
  <si>
    <t>том, включён ли он в BAC.</t>
  </si>
  <si>
    <t>□ Формулы и единицы верны; сценарное допущение обозначено.</t>
  </si>
  <si>
    <t>4. Проверьте, какие работы должны попасть в план готовности. Укажите уполномоченного на допуск и участника, принимающего</t>
  </si>
  <si>
    <t>□ Причина не выдана за установленный факт.</t>
  </si>
  <si>
    <t>соответствующий риск.</t>
  </si>
  <si>
    <t>□ Сравнение использует один предмет и горизонт; цена задержки не названа бухгалтерским расходом.</t>
  </si>
  <si>
    <t>□ Данные другой версии не представлены как доказательство текущей без обоснованного анализа применимости.</t>
  </si>
  <si>
    <t>□ Рекомендация меняется при вычисленном условии, а не по вкусу команды.</t>
  </si>
  <si>
    <t>С10 · Риски: от возможного события к действию</t>
  </si>
  <si>
    <t>□ Общий процент не скрывает критичные неуспехи.</t>
  </si>
  <si>
    <t>Переход: Срез 15 ноября сохраняется в истории. После изменения объёма 18 ноября будущий прогноз имеет другую основу; старое EAC нельзя</t>
  </si>
  <si>
    <t>просто объявить опровергнутым.</t>
  </si>
  <si>
    <t>□ Предложенная проверка способна подтвердить нужное свойство.</t>
  </si>
  <si>
    <t>D08-EVM · Освоенный объём на 15 ноября</t>
  </si>
  <si>
    <t>Прогноз</t>
  </si>
  <si>
    <t>□ Условный допуск не обходит запретительные критерии кейса.</t>
  </si>
  <si>
    <t>UniFlow 0.8. Все денежные величины в млн ₽ и в одной исходной базе.</t>
  </si>
  <si>
    <t>Сценарий</t>
  </si>
  <si>
    <t>Переход: Сохраните решение на 20 ноября. Новые сведения 24 ноября — новый общий срез, а не оценка эффективности вашего плана</t>
  </si>
  <si>
    <t>PV=2,4; EV=2,0; AC=2,5; BAC=4,8.</t>
  </si>
  <si>
    <t>C, дней</t>
  </si>
  <si>
    <t>проверок.</t>
  </si>
  <si>
    <t>Цена, млн ₽</t>
  </si>
  <si>
    <t>SV=EV−PV; CV=EV−AC; SPI=EV/PV; CPI=EV/AC.</t>
  </si>
  <si>
    <t>База C=8</t>
  </si>
  <si>
    <t>Сценарий разового перерасхода: оставшиеся работы выполняются по бюджетной оценке, EAC=AC+(BAC−EV). Сценарий сохранения CPI:</t>
  </si>
  <si>
    <t>D09 · Пакет свидетельств версии 0.9</t>
  </si>
  <si>
    <t>эффективность текущего объёма применяется ко всему проекту, EAC=BAC/CPI.</t>
  </si>
  <si>
    <t>Состояние на 20 ноября. Все испытания ниже — на тестовых данных; студенты читают готовые учебные свидетельства.</t>
  </si>
  <si>
    <t>Ни одна из формул не доказывает причину. Для выбора нужны сведения об объёме, составе затрат, фактической занятости и изменениях.</t>
  </si>
  <si>
    <t>D08-BUY · Покупка или создание модуля панели координатора</t>
  </si>
  <si>
    <t>Общий отчёт T-09: 100 запланированных проверок выполнено, 96 успешны, 4 неуспешны. Два неуспеха соответствуют критичным дефектам</t>
  </si>
  <si>
    <t>Самостоятельный экономический пример; не план запуска всего UniFlow на 15 ноября.</t>
  </si>
  <si>
    <t>Предмет — модуль панели с одинаковыми согласованными функциями и правами. Оба варианта считаются допустимыми по обязательным критериям</t>
  </si>
  <si>
    <t>SEC-09 и DATA-09; два — некритичным ошибкам оформления. Процент не является взвешенной оценкой готовности.</t>
  </si>
  <si>
    <t>до сравнения цены; если проверка соответствия это опровергнет, сравнение пересматривается.</t>
  </si>
  <si>
    <t>Горизонт владения — 12 месяцев эксплуатации после готовности модуля. Цена включает создание/лицензию и внедрение в пределах указанного</t>
  </si>
  <si>
    <t>Критичные открытые дефекты доступа и целостности, отсутствие подтверждённого восстановления или обученной поддержки блокируют текущий</t>
  </si>
  <si>
    <t>Сформулировать будущий риск, оценить реакцию и отличить её стоимость от резерва.</t>
  </si>
  <si>
    <t>варианта; сопровождение приведено за весь горизонт. Одинаковые затраты, общие обоим вариантам, исключены. Инфляция, налоги и</t>
  </si>
  <si>
    <t>дисконтирование не моделируются; все значения сопоставимы.</t>
  </si>
  <si>
    <t>допуск по правилам кейса. Снять эти условия общей подписью «принимаем риск» нельзя.</t>
  </si>
  <si>
    <t>Состояние: Для этого упражнения возвращаемся к планированию на 1 октября. Используйте сведения, доступные в начале</t>
  </si>
  <si>
    <t>8 и 5 недель отсчитываются от условного дня решения. Цена ожидания 0,12 млн ₽ за неделю учитывается как оценка недополученного</t>
  </si>
  <si>
    <t>Критерии REQ/PERF/REL соответствуют D05. Решение относится к 0.9; в случае новой сборки нужно определить, какие прежние свидетельства</t>
  </si>
  <si>
    <t>новой попытки. Ноябрьские события — отдельные общие вводные, их нельзя записывать как уже известный исход на 1</t>
  </si>
  <si>
    <t>эффекта. Это экономическая цена задержки, её не нужно записывать в бухгалтерский бюджет как платёж.</t>
  </si>
  <si>
    <t>октября.</t>
  </si>
  <si>
    <t>Стоимость владения = цена + интеграция + сопровождение + выход. Общая экономическая стоимость = стоимость владения + срок × 0,12. Не</t>
  </si>
  <si>
    <t>сохраняют применимость и какие проверки повторяются.</t>
  </si>
  <si>
    <t>Отклонение C=10</t>
  </si>
  <si>
    <t>прибавляйте её к EAC из другой части задания.</t>
  </si>
  <si>
    <t>Задание: Шесть содержательных строк вместо прежних двенадцати; четыре расчёта, из них три с открытым решением; две</t>
  </si>
  <si>
    <t>Документы</t>
  </si>
  <si>
    <t>полные реакции.</t>
  </si>
  <si>
    <t>Числовые вводные EVM · млн ₽ · 15.11.2026, версия 0.8</t>
  </si>
  <si>
    <t>Показатель</t>
  </si>
  <si>
    <t>D10: три разобранных события и один новый расчёт; денежные последствия — дополнительные затраты при наступлении</t>
  </si>
  <si>
    <t>Версия / условия</t>
  </si>
  <si>
    <t>Ввод</t>
  </si>
  <si>
    <t>Наблюдение</t>
  </si>
  <si>
    <t>Ограничение</t>
  </si>
  <si>
    <t>события, возможности записаны со знаком минус.</t>
  </si>
  <si>
    <t>PV</t>
  </si>
  <si>
    <t>F-09</t>
  </si>
  <si>
    <t>Интеграционный риск D10 относится к обязательному SSO. Дополнительный обмен с внешним реестром — другая зависимость.</t>
  </si>
  <si>
    <t>0.9; тестовый SSO и 500 записей</t>
  </si>
  <si>
    <t>Обычная регистрация и доставка отправленного отзыва работают; пять измерений доставки: 8,12,16,40,55 секунд.</t>
  </si>
  <si>
    <t>Вероятности — учебные оценки, а не измеренные частоты. Сумма EMV — ориентир ожидания; она не определяет достаточный</t>
  </si>
  <si>
    <t>EV</t>
  </si>
  <si>
    <t>Это подтверждает проверенные сценарии, а не всю функциональную пригодность.</t>
  </si>
  <si>
    <t>запас денег для неблагоприятного исхода.</t>
  </si>
  <si>
    <t>SEC-09</t>
  </si>
  <si>
    <t>AC</t>
  </si>
  <si>
    <t>0.9; отрицательный сценарий прав</t>
  </si>
  <si>
    <t>Участник команды может прочитать закрытый статус другой команды при прямом запросе. Дефект критичный, открыт.</t>
  </si>
  <si>
    <t>Успешный обычный вход SSO не закрывает нарушение прав.</t>
  </si>
  <si>
    <t>Специалист C=7</t>
  </si>
  <si>
    <t>Реестр</t>
  </si>
  <si>
    <t>BAC</t>
  </si>
  <si>
    <t>DATA-09</t>
  </si>
  <si>
    <t>0.9; два одновременных подтверждённых обновления</t>
  </si>
  <si>
    <t>Одно подтверждённое изменение статуса теряется. Дефект критичный, открыт.</t>
  </si>
  <si>
    <t>Причина → событие → цель</t>
  </si>
  <si>
    <t>Нужно исправление и повторная проверка конкурирующих изменений.</t>
  </si>
  <si>
    <t>Угроза / возможность</t>
  </si>
  <si>
    <t>Общий параметр сравнения</t>
  </si>
  <si>
    <t>Приоритет и основание</t>
  </si>
  <si>
    <t>P-08</t>
  </si>
  <si>
    <t>0.8; 50 виртуальных пользователей, 500 записей</t>
  </si>
  <si>
    <t>p95 ответа панели 1,8 секунды; протокол сохранён.</t>
  </si>
  <si>
    <t xml:space="preserve">R-SSO
</t>
  </si>
  <si>
    <t>В 0.9 менялась сборка сводки. Применимость протокола 0.8 к 0.9 не доказана.</t>
  </si>
  <si>
    <t>Цена ожидания, млн ₽ / неделю</t>
  </si>
  <si>
    <t>U-09</t>
  </si>
  <si>
    <t>Горизонт владения после готовности, месяцев</t>
  </si>
  <si>
    <t>0.9; 10 представителей команд, одинаковое задание</t>
  </si>
  <si>
    <t xml:space="preserve">R-SEC
</t>
  </si>
  <si>
    <t>9 участников зарегистрировались без помощи не дольше 3 минут; один — за 3 минуты 30 секунд.</t>
  </si>
  <si>
    <t>Узкий критерий REQ-REG выполнен; вывод о всех пользователях и всех сценариях из этого не следует.</t>
  </si>
  <si>
    <t xml:space="preserve">O-ADAPT
</t>
  </si>
  <si>
    <t>R-09</t>
  </si>
  <si>
    <t>0.9</t>
  </si>
  <si>
    <t xml:space="preserve">R-BACKUP
</t>
  </si>
  <si>
    <t>Копия создана; восстановления согласованного набора из неё ещё не проводили.</t>
  </si>
  <si>
    <t>Наличие копии не доказывает время и полноту восстановления.</t>
  </si>
  <si>
    <t>Модуль · компоненты затрат млн ₽; готовность в неделях</t>
  </si>
  <si>
    <t xml:space="preserve">Событие команды 1
</t>
  </si>
  <si>
    <t>O-09</t>
  </si>
  <si>
    <t>Инструкция черновая; поддержка обучение не прошла.</t>
  </si>
  <si>
    <t xml:space="preserve">Событие команды 2
</t>
  </si>
  <si>
    <t>Эксплуатационная готовность не подтверждена.</t>
  </si>
  <si>
    <t>Цена</t>
  </si>
  <si>
    <t>1. Воспроизведите решённую логическую сеть: ES, EF, LS, LF, полный и свободный резервы. Объясните, почему</t>
  </si>
  <si>
    <t>Интеграция</t>
  </si>
  <si>
    <t>Поддержка</t>
  </si>
  <si>
    <t>Выход</t>
  </si>
  <si>
    <t>Готовность, недель</t>
  </si>
  <si>
    <t>резерв B не является разрешением потратить резерв бюджета.</t>
  </si>
  <si>
    <t>EMV и реакции</t>
  </si>
  <si>
    <t>BUY: 0,40</t>
  </si>
  <si>
    <t>2. В ресурсном сценарии назначьте инженера И1 на B и C по 100%. Сравните последовательную работу и</t>
  </si>
  <si>
    <t>Событие</t>
  </si>
  <si>
    <t>p до</t>
  </si>
  <si>
    <t>BUY: 0,25</t>
  </si>
  <si>
    <t>EMV до</t>
  </si>
  <si>
    <t>Цена реакции</t>
  </si>
  <si>
    <t>p после</t>
  </si>
  <si>
    <t>передачу одной работы И2. Условия передачи: 1 рабочий день после A; оба инженера заняты передачей, затем B</t>
  </si>
  <si>
    <t>EMV после</t>
  </si>
  <si>
    <t>BUY: 0,55</t>
  </si>
  <si>
    <t>и C могут идти параллельно. Укажите новую дату и загрузку.</t>
  </si>
  <si>
    <t>R-SSO</t>
  </si>
  <si>
    <t>3. Вернитесь к исходной логической сети на листе С06_Расписание. Увеличьте C до 10, затем проверьте</t>
  </si>
  <si>
    <t>Проверка чувствительности</t>
  </si>
  <si>
    <t>предложение специалиста C=7 за 0,18 млн ₽. В эти 7 дней уже включён ввод специалиста. Ограничение общей</t>
  </si>
  <si>
    <t>Расчёт, млн ₽</t>
  </si>
  <si>
    <t>занятости из предыдущего сценария здесь не действует.</t>
  </si>
  <si>
    <t>Предельная цена интеграции BUY при равной общей стоимости</t>
  </si>
  <si>
    <t>4. Дайте рекомендацию по одному ресурсному решению: цена, дата, остаточный риск и условие проверки.</t>
  </si>
  <si>
    <t>□ Даты получены из модели, а не введены ради нужного ответа.</t>
  </si>
  <si>
    <t>□ В ресурсном варианте нет скрытой параллельной загрузки свыше 100%.</t>
  </si>
  <si>
    <t>□ Ресурсный сценарий не смешан с готовыми ответами 23 и 20 дней.</t>
  </si>
  <si>
    <t>□ Решение объясняет цену и оставшийся риск.</t>
  </si>
  <si>
    <t>Переход: В С07 используйте найденную ресурсную зависимость при обсуждении ответственности. Остаточный план</t>
  </si>
  <si>
    <t>Стоимость владения = цена + интеграция + поддержка + выход. Общая стоимость добавляет цену ожидания.</t>
  </si>
  <si>
    <t>Сравнение модуля нельзя прибавлять к EAC всего проекта. Числа служат основанием; рекомендация и допущения — ваши.</t>
  </si>
  <si>
    <t>С12 будет выдан отдельно на дату состояния.</t>
  </si>
  <si>
    <t>R-SEC</t>
  </si>
  <si>
    <t>O-ADAPT</t>
  </si>
  <si>
    <t>D06 · Три независимых расчёта расписания</t>
  </si>
  <si>
    <t>R-BACKUP</t>
  </si>
  <si>
    <t>Учебные рабочие дни от 0; календарь пятидневный, 8 часов в рабочем дне, суббота и воскресенье выходные.</t>
  </si>
  <si>
    <t>Две реакции</t>
  </si>
  <si>
    <t>Действие до</t>
  </si>
  <si>
    <t>Календарные даты необязательны; гражданские праздники в упражнении не учитываются.</t>
  </si>
  <si>
    <t>Триггер</t>
  </si>
  <si>
    <t>Действие после</t>
  </si>
  <si>
    <t>Владелец / срок</t>
  </si>
  <si>
    <t>Приоритет 1</t>
  </si>
  <si>
    <t>Логическая модель не накладывает ресурсное ограничение И1. Сохраняйте её как отдельную основу.</t>
  </si>
  <si>
    <t>Приоритет 2</t>
  </si>
  <si>
    <t>Ресурсный сценарий: И1 нужен B и C на 100%; делить его день пополам без пересчёта длительностей нельзя. И2</t>
  </si>
  <si>
    <t>обладает нужной компетенцией и доступен после однодневной передачи, которая занимает обоих инженеров после</t>
  </si>
  <si>
    <t>Резерв</t>
  </si>
  <si>
    <t>завершения A.</t>
  </si>
  <si>
    <t>Заданный резерв</t>
  </si>
  <si>
    <t>Что он не покрывает</t>
  </si>
  <si>
    <t>Кто и когда решает</t>
  </si>
  <si>
    <t>Вариант C=10 и ускорение C=7 считаются на отдельной копии логической базы с разными доступными ресурсами B</t>
  </si>
  <si>
    <t>и C. 7 дней включает ввод специалиста. Дополнительно 1 день передачи здесь не прибавляется.</t>
  </si>
  <si>
    <t>PERT — необязательное продолжение: (O+4M+P)/6. Для A=(2,3,4), B=(4,5,6), C=(6,8,10), D=(8,10,12)</t>
  </si>
  <si>
    <t>получаются те же 3,5,8,10; совпадение является свойством заданных симметричных оценок.</t>
  </si>
  <si>
    <t>1. Сначала индивидуально назовите возможное будущее событие, затем соберите шесть различных рисков и возможностей,</t>
  </si>
  <si>
    <t>Смысл работ учебной сети</t>
  </si>
  <si>
    <t>включая минимум одну возможность. Четыре строки могут использовать D10, две создайте из контекста.</t>
  </si>
  <si>
    <t>2. Для каждой строки запишите причину, неопределённое событие и последствие для цели. Открытый дефект не записывайте</t>
  </si>
  <si>
    <t>Архитектура</t>
  </si>
  <si>
    <t>как будущее событие.</t>
  </si>
  <si>
    <t>3. Проверьте три готовых EMV и самостоятельно оцените четвёртую реакцию. Сравните стоимость реакции с изменением</t>
  </si>
  <si>
    <t>ожидаемого последствия, сохраняя знак возможности.</t>
  </si>
  <si>
    <t>Интеграция — укрупнённая работа учебной модели</t>
  </si>
  <si>
    <t>4. Для двух приоритетных событий задайте действие до события, триггер, действие после события, владельца и срок.</t>
  </si>
  <si>
    <t>5. Объясните ограничение резерва 0,25 млн ₽: это заданное учебное решение уполномоченного, а не арифметический</t>
  </si>
  <si>
    <t>Первоначальная проверка безопасности</t>
  </si>
  <si>
    <t>результат суммы EMV. Назовите тяжёлый исход, для которого потребуется отдельная эскалация.</t>
  </si>
  <si>
    <t>□ Событие остаётся неопределённым на выбранную дату.</t>
  </si>
  <si>
    <t>□ Нет переименованных дублей ради числа строк.</t>
  </si>
  <si>
    <t>□ Денежные знаки и стоимость реакции учтены корректно.</t>
  </si>
  <si>
    <t>□ Триггер наблюдаем, а выбранный резерв не объявлен гарантией покрытия любого исхода.</t>
  </si>
  <si>
    <t>Переход: Вернитесь к 24 ноября в С11. Не переписывайте октябрьский реестр задним числом; добавьте запись об</t>
  </si>
  <si>
    <t>изменении статуса риска, если новое событие к нему относится.</t>
  </si>
  <si>
    <t>D10 · Четыре расчёта риска и две реакции</t>
  </si>
  <si>
    <t>Условия планирования на 1 октября. Денежные последствия — млн ₽ дополнительных затрат; вероятность от 0 до 1.</t>
  </si>
  <si>
    <t>Три первые строки сохраняют решённый пример. Четвёртая даёт самостоятельный перенос способа расчёта. Для двух</t>
  </si>
  <si>
    <t>добавленных командой качественных рисков точные вероятности не обязательны.</t>
  </si>
  <si>
    <t>Ресурсное условие · рабочие дни</t>
  </si>
  <si>
    <t>Вероятности до и после реакции — учебные оценки. Их подтверждение потребовало бы экспертизы/данных; правильная</t>
  </si>
  <si>
    <t>формула не делает оценки достоверными.</t>
  </si>
  <si>
    <t>Реакция — расход, а не четвёртый риск. Резерв 0,25 млн ₽ задан отдельным решением куратора; остаточный риск</t>
  </si>
  <si>
    <t>инцидента с ущербом 1,5 требует особых ограничений/эскалации и не покрывается этим резервом полностью.</t>
  </si>
  <si>
    <t>Исходные события и смысл реакции</t>
  </si>
  <si>
    <t>Передача после A, заняты И1 и И2</t>
  </si>
  <si>
    <t>Будущее событие</t>
  </si>
  <si>
    <t>Смысл реакции</t>
  </si>
  <si>
    <t>Совместная проверка обязательного SSO выявит несовместимость поздно</t>
  </si>
  <si>
    <t>Предварительный контрактный тест до основного окна.</t>
  </si>
  <si>
    <t>Возникнет инцидент с данными при эксплуатации</t>
  </si>
  <si>
    <t>Количественный эффект дополнительной реакции в этой строке не задан.</t>
  </si>
  <si>
    <t>Будет найден пригодный повторно используемый адаптер SSO</t>
  </si>
  <si>
    <t>Выгода при условии подтверждённой совместимости.</t>
  </si>
  <si>
    <t>Ключевой специалист будет недоступен в критичное окно</t>
  </si>
  <si>
    <t>Подготовить заменяющего специалиста и провести совместную проверку передачи.</t>
  </si>
  <si>
    <t>В этом расчётном примере можно менять длительности; связи заданы. Изменение состава или связей сети</t>
  </si>
  <si>
    <t>моделируйте отдельно.</t>
  </si>
  <si>
    <t>В первом столбце реестра дополните код своей цепочкой «причина → событие → цель». При длинном ответе увеличьте</t>
  </si>
  <si>
    <t>высоту строки.</t>
  </si>
  <si>
    <t>Самостоятельная строка R-BACKUP: в D32 введите формулу p до × последствие; в G32 — p после × последствие.</t>
  </si>
  <si>
    <t>Сеть и прогноз — отдельная учебная модель: начало 0, рабочие дни, праздники не заданы. Ресурсный выбор</t>
  </si>
  <si>
    <t>EMV после — остаточный риск без цены реакции. Для решения сопоставьте EMV до с суммой остаточного EMV и цены</t>
  </si>
  <si>
    <t>проверяется отдельно.</t>
  </si>
  <si>
    <t>реакции.</t>
  </si>
  <si>
    <t>Отрицательное последствие — возможность. EMV не равен заданному резерву; реакция не списывается из резерва</t>
  </si>
  <si>
    <t>автоматически.</t>
  </si>
  <si>
    <t>В прогнозе B и C имеют разные ресурсы. C=7 уже включает передачу; добавлять к нему ещё один день не</t>
  </si>
  <si>
    <t>Используйте прежнее решение как основание. Новая общая вводная не является автоматически последствием</t>
  </si>
  <si>
    <t>С11 · Диагноз состояния и два условных прогноза</t>
  </si>
  <si>
    <t>вашей рекомендации.</t>
  </si>
  <si>
    <t>Разделить наблюдение, объяснение и последствия действия; вычислить прогноз из остаточной работы.</t>
  </si>
  <si>
    <t>Состояние: Основная задача: UniFlow 0.9, конец 24 ноября. Внешний обмен с реестром исключён 18 ноября; SSO остаётся. Дополнительно —</t>
  </si>
  <si>
    <t>отдельный короткий учебный пример пяти DORA для действующего сервиса.</t>
  </si>
  <si>
    <t>Задание: Краткий отчёт UniFlow и отдельный расчёт пяти DORA. Не нужен «светофор» без согласованного порога или прогноз всех пяти</t>
  </si>
  <si>
    <t>метрик по произвольным диапазонам.</t>
  </si>
  <si>
    <t>D11-U: SPI=0,86; CPI=0,81; время от принятия работы до готовности к проверке выросло с 6 до 11 рабочих дней; три критичных дефекта.</t>
  </si>
  <si>
    <t>Выборки и оценки остатка выданы полностью.</t>
  </si>
  <si>
    <t>D11-U time — показатель внутреннего процесса до запуска, а не DORA change lead time. Источник и правило расчёта фиксированы.</t>
  </si>
  <si>
    <t>D11-D: журнал условного уже работающего сервиса. Пять DORA считаются по production-событиям. Его числа не описывают состояние UniFlow</t>
  </si>
  <si>
    <t>и не используются для его прогноза.</t>
  </si>
  <si>
    <t>Прогнозы D11-U основаны на оценках специалистов. Их диапазоны — границы заданных сценариев, не статистический доверительный интервал.</t>
  </si>
  <si>
    <t>С12 · Изменение по остаточному плану</t>
  </si>
  <si>
    <t>Факты и диагноз</t>
  </si>
  <si>
    <t>Факт и источник</t>
  </si>
  <si>
    <t>Что он не доказывает</t>
  </si>
  <si>
    <t>Различающая проверка</t>
  </si>
  <si>
    <t>SPI/CPI</t>
  </si>
  <si>
    <t>Время внутреннего процесса</t>
  </si>
  <si>
    <t>Критичные дефекты</t>
  </si>
  <si>
    <t>Изменение объёма 18.11</t>
  </si>
  <si>
    <t>Прогноз UniFlow</t>
  </si>
  <si>
    <t>Остаточная сеть</t>
  </si>
  <si>
    <t>Граница даты min / max</t>
  </si>
  <si>
    <t>Стоимость min / max</t>
  </si>
  <si>
    <t>Пересчёт</t>
  </si>
  <si>
    <t>Без действия</t>
  </si>
  <si>
    <t>Выбор карточки и вводные ↓</t>
  </si>
  <si>
    <t>Вычислить влияние одного запроса на срок и деньги, затем связать решение с конфигурацией и допуском.</t>
  </si>
  <si>
    <t>Состояние: Начало 25 ноября, версия 0.9. До начала пилота 1 декабря четыре рабочих дня: 25, 26, 27 и 30 ноября. Данные D12 заменяют</t>
  </si>
  <si>
    <t>для этого упражнения исходную сеть С06.</t>
  </si>
  <si>
    <t>Задание: Одна полностью разобранная карточка, два варианта и согласованная запись решения. Заполнять воздействия всех шести карточек</t>
  </si>
  <si>
    <t>Расчёт ниже ↓</t>
  </si>
  <si>
    <t>каждой команде не требуется.</t>
  </si>
  <si>
    <t>Фокус на завершении</t>
  </si>
  <si>
    <t>D12: остаточная сеть R1=4 и R2=3 параллельно; M — нулевая веха допуска после обеих. Разные ресурсы доступны; базовая готовность —</t>
  </si>
  <si>
    <t>конец 30 ноября. Эти идентификаторы не связаны с A–D из С06.</t>
  </si>
  <si>
    <t>AC=4,10; оценка оставшихся обязательных работ=0,45; прогноз=4,55; неиспользованный резерв=0,25 млн ₽ в пределах BAC=4,80. Резерв не</t>
  </si>
  <si>
    <t>прибавляется к BAC.</t>
  </si>
  <si>
    <t>Одна карточка A–F назначается по номеру команды: ((номер−1) mod 6)+1. Если номер ещё не подтверждён, преподаватель назначает карточку</t>
  </si>
  <si>
    <t>Срок решения</t>
  </si>
  <si>
    <t>Ожидаемый эффект</t>
  </si>
  <si>
    <t>и пишет её букву; работа не блокируется.</t>
  </si>
  <si>
    <t>Отдельный пример DORA</t>
  </si>
  <si>
    <t>Карточки независимы: нельзя автоматически использовать возможность D при решении карточки A. Для сравнения разрешено назвать такой</t>
  </si>
  <si>
    <t>Сырые значения</t>
  </si>
  <si>
    <t>дополнительный запрос, но его доступность не задана.</t>
  </si>
  <si>
    <t>Частота deployments</t>
  </si>
  <si>
    <t>Журнал ниже, строки 149–153</t>
  </si>
  <si>
    <t>Количество / дней окна × 7</t>
  </si>
  <si>
    <t>Воздействие карточки</t>
  </si>
  <si>
    <t>Карточка</t>
  </si>
  <si>
    <t>Тип</t>
  </si>
  <si>
    <t>Срок и основание</t>
  </si>
  <si>
    <t>Стоимость и резерв</t>
  </si>
  <si>
    <t>Качество / риск</t>
  </si>
  <si>
    <t>Commit→production</t>
  </si>
  <si>
    <t>Среднее commit → production</t>
  </si>
  <si>
    <t>С13 · Проверка пакета и решение о завершении</t>
  </si>
  <si>
    <t>Доля неудачных deployments</t>
  </si>
  <si>
    <t>Неудачные / все deployments</t>
  </si>
  <si>
    <t>Статус</t>
  </si>
  <si>
    <t>Владелец действия</t>
  </si>
  <si>
    <t>Восстановление после неудачного deployment</t>
  </si>
  <si>
    <t>Новый план</t>
  </si>
  <si>
    <t>Среднее часов только неудачных</t>
  </si>
  <si>
    <t>Остаток</t>
  </si>
  <si>
    <t>Ресурс</t>
  </si>
  <si>
    <t>Отделить рецензию коллег от приёмки результата и передачи ответственности.</t>
  </si>
  <si>
    <t>Состояние: Две части: взаимная проверка собственных пакетов команд; затем общая бумажная контрольная точка D13 на 1 декабря, версия</t>
  </si>
  <si>
    <t>Граница завершения</t>
  </si>
  <si>
    <t>1.0. Этот общий набор свидетельств не является автоматическим результатом вашей карточки С12.</t>
  </si>
  <si>
    <t>R1</t>
  </si>
  <si>
    <t>Задание: Один входящий отзыв и ответ в книге каждой команды; рецензент указан. Отдельно три решения по D13. Общий подписываемый</t>
  </si>
  <si>
    <t>Доля deployments из-за инцидентов</t>
  </si>
  <si>
    <t>обеими командами протокол не требуется.</t>
  </si>
  <si>
    <t>Из-за инцидента / все deployments</t>
  </si>
  <si>
    <t>Для рецензии нужны версии работ С01–С12, исходная буква карточки С12 и собственные решения. При неполноте пакета это фиксируется как</t>
  </si>
  <si>
    <t>ограничение проверки.</t>
  </si>
  <si>
    <t>R2</t>
  </si>
  <si>
    <t>Шесть направлений проверки: смысл и полномочия; содержание и расписание; ресурсы и деньги; качество и риски; контроль и изменения;</t>
  </si>
  <si>
    <t>M</t>
  </si>
  <si>
    <t>согласованность версий и ссылок.</t>
  </si>
  <si>
    <t>D13 содержит свидетельства общей версии 1.0 для отдельной рекомендации куратору. Рецензент-студент не уполномочен подписывать приёмку</t>
  </si>
  <si>
    <t>Добавленная работа</t>
  </si>
  <si>
    <t>вымышленного проекта вместо куратора.</t>
  </si>
  <si>
    <t>Другая затронутая работа</t>
  </si>
  <si>
    <t>1. Выпишите четыре факта UniFlow с датой, источником и ограничением. По двум выборкам воспроизведите 6 и 11 дней и относительное</t>
  </si>
  <si>
    <t>Входящая рецензия</t>
  </si>
  <si>
    <t>изменение.</t>
  </si>
  <si>
    <t>2. Предложите основную и альтернативную причину. Для каждой укажите различающее свидетельство. Уже исключённая внешняя интеграция</t>
  </si>
  <si>
    <t>Направление</t>
  </si>
  <si>
    <t>Выпуск и связи</t>
  </si>
  <si>
    <t>Проверенное место / версия</t>
  </si>
  <si>
    <t>может объяснять часть прошлого ожидания, но не автоматически весь текущий остаток.</t>
  </si>
  <si>
    <t>Вывод / замечание</t>
  </si>
  <si>
    <t>3. Рассчитайте две границы даты и стоимости: без действия и при выделении команды на завершение текущей работы. Используйте заданные</t>
  </si>
  <si>
    <t>Затронутая основа / единица</t>
  </si>
  <si>
    <t>зависимости и не усредняйте границы до единственного обещания.</t>
  </si>
  <si>
    <t>Смысл и полномочия</t>
  </si>
  <si>
    <t>Что изменено</t>
  </si>
  <si>
    <t>4. Сформулируйте одно решение: действие, уполномоченный, срок ценности решения и момент пересчёта.</t>
  </si>
  <si>
    <t>Версия</t>
  </si>
  <si>
    <t>Доказательство / проверка</t>
  </si>
  <si>
    <t>5. В отдельном разделе рассчитайте пять DORA по D11-D и назовите одно ограничение интерпретации малой выборки. SPI, CPI и число</t>
  </si>
  <si>
    <t>Откат / владелец</t>
  </si>
  <si>
    <t>Содержание и расписание</t>
  </si>
  <si>
    <t>дефектов в эти пять показателей не входят.</t>
  </si>
  <si>
    <t>Содержание</t>
  </si>
  <si>
    <t>Ресурсы и деньги</t>
  </si>
  <si>
    <t>□ Причинная гипотеза не скрыта внутри столбца фактов.</t>
  </si>
  <si>
    <t>Качество и риски</t>
  </si>
  <si>
    <t>□ 6→11 воспроизводится по одной единице и одинаковым правилам.</t>
  </si>
  <si>
    <t>Расписание и ресурсы</t>
  </si>
  <si>
    <t>Контроль и изменения</t>
  </si>
  <si>
    <t>□ Диапазоны даты и стоимости следуют из выданных оценок; сценарий действия имеет цену.</t>
  </si>
  <si>
    <t>Версии и ссылки</t>
  </si>
  <si>
    <t>Деньги и резерв</t>
  </si>
  <si>
    <t>□ Два набора данных и production / до запуска не смешаны.</t>
  </si>
  <si>
    <t>Качество / риски / полномочия</t>
  </si>
  <si>
    <t>Переход: С12 выдаёт общий уточнённый остаточный план на утро 25 ноября. Он не утверждает, что все команды С11 выбрали и выполнили</t>
  </si>
  <si>
    <t>одинаковую рекомендацию.</t>
  </si>
  <si>
    <t>Ответ автора и исправления</t>
  </si>
  <si>
    <t>Состав версии и откат</t>
  </si>
  <si>
    <t>Замечание</t>
  </si>
  <si>
    <t>Приоритет</t>
  </si>
  <si>
    <t>D11-U · Факты и основания прогноза UniFlow</t>
  </si>
  <si>
    <t>Конец 24 ноября. Суббота/воскресенье — выходные; гражданские праздники в учебном календаре не учитываются. Следующий рабочий день 25</t>
  </si>
  <si>
    <t>ноября.</t>
  </si>
  <si>
    <t>SPI=0,86 и CPI=0,81 предоставлены как рассчитанные показатели отчёта; исходный регистр PV/EV/AC для повторного EVM здесь не требуется.</t>
  </si>
  <si>
    <t>Три критичных дефекта открыты. Дополнительный внешний обмен исключён 18 ноября, SSO остаётся.</t>
  </si>
  <si>
    <t>1. Прочитайте свою карточку и классифицируйте событие: запрос, обязательное изменение, проблема, реализованный риск или возможность.</t>
  </si>
  <si>
    <t>Время прохождения здесь: рабочие дни от принятия работы командой до передачи на проверку; включается ожидание внутри процесса. Это не</t>
  </si>
  <si>
    <t>Общая контрольная точка D13</t>
  </si>
  <si>
    <t>время commit→production и не DORA change lead time. Выборки включают только завершённые работы одного сопоставимого класса;</t>
  </si>
  <si>
    <t>Классификация может содержать два уровня, если вы их объясняете.</t>
  </si>
  <si>
    <t>незавершённые работы могут быть старше.</t>
  </si>
  <si>
    <t>Решение: приёмка / передача / закрытие</t>
  </si>
  <si>
    <t>Свидетельство</t>
  </si>
  <si>
    <t>Общий уточнённый объём после 18 ноября меньше прежнего. Поэтому приведённые ниже оценки остатка не являются арифметическим</t>
  </si>
  <si>
    <t>Остаточное обязательство</t>
  </si>
  <si>
    <t>Владелец и проверка</t>
  </si>
  <si>
    <t>продолжением EAC 5,3–6,0 от 15 ноября. Это новые оценки специалистов на иной основе.</t>
  </si>
  <si>
    <t>2. Рассчитайте новый срок, календарную границу готовности, прогноз затрат и оставшийся резерв или дефицит. Для карточки C сначала</t>
  </si>
  <si>
    <t>Приёмка P06</t>
  </si>
  <si>
    <t>В обоих сценариях техническое завершение R1 и эксплуатационная подготовка R2 идут параллельно разными ресурсами, затем нулевая веха M.</t>
  </si>
  <si>
    <t>Календарный выпуск не может состояться раньше доказанной готовности.</t>
  </si>
  <si>
    <t>проверьте, входит ли затронутая работа в текущий выпуск.</t>
  </si>
  <si>
    <t>Допуск / передача P04</t>
  </si>
  <si>
    <t>Стоимость после действия уже включает 0,08 млн ₽ выделения/перестройки работы; второй раз прибавлять её нельзя. Неиспользованный</t>
  </si>
  <si>
    <t>резерв в оценки расходов не входит.</t>
  </si>
  <si>
    <t>Закрытие проекта</t>
  </si>
  <si>
    <t>3. Рассмотрите два допустимых варианта. Нельзя отклонить обязательное требование безопасности только ради даты; можно изменить дату</t>
  </si>
  <si>
    <t>D11-D · Пять DORA: отдельный учебный production-журнал</t>
  </si>
  <si>
    <t>Условный действующий сервис; одно 14-дневное окно. Этот пример не описывает ещё не запущенный UniFlow.</t>
  </si>
  <si>
    <t>или ограничить выпуск при разрешении соответствующей стороны.</t>
  </si>
  <si>
    <t>Deployment — одно завершённое развёртывание в production. Неудачное требует немедленного вмешательства. Rework — незапланированное</t>
  </si>
  <si>
    <t>развёртывание вследствие production-инцидента; признак rework не означает автоматически, что само это развёртывание было неудачным.</t>
  </si>
  <si>
    <t>4. Запишите решение, уполномоченного и последствия. При недостатке денег запросите решение куратора; арифметическое уменьшение BAC не</t>
  </si>
  <si>
    <t>1. Обменяйтесь пакетами в назначенной паре. При нечётном числе команд последняя тройка работает по кругу A→B→C→A: у каждой команды</t>
  </si>
  <si>
    <t>Change lead time измеряется от фиксации изменения в системе контроля версий до production. В этом примере каждое из пяти изменений</t>
  </si>
  <si>
    <t>один входящий и один исходящий отзыв.</t>
  </si>
  <si>
    <t>имеет отдельное развёртывание; это условие учебного журнала, не обязательное устройство реальной поставки.</t>
  </si>
  <si>
    <t>уменьшает уже понесённые расходы.</t>
  </si>
  <si>
    <t>2. За 25 минут проверьте шесть направлений. Для замечания укажите конкретное место, несоответствие, последствие для решения и</t>
  </si>
  <si>
    <t>Средние времени указаны как выбранные агрегаты именно этого упражнения. Не сравнивайте этот сервис с другой командой и не присваивайте</t>
  </si>
  <si>
    <t>5. Обновите затронутые разделы: содержание; остаточный план; бюджет/резерв; риски и критерии; конфигурация. Назовите версию</t>
  </si>
  <si>
    <t>предложенное исправление. Если замечаний по направлению нет, укажите проверенное свидетельство.</t>
  </si>
  <si>
    <t>цвет без порога и контекста. Пять событий — малая выборка.</t>
  </si>
  <si>
    <t>планируемого выпуска, доказательства по ней, условие отката, ответственного и совместимую цель возврата. Не пишите «откат на 0.9» без</t>
  </si>
  <si>
    <t>3. Уточните замечания с авторами. Каждый автор фиксирует ответ: принять; принять частично; не принять с обоснованием; запросить</t>
  </si>
  <si>
    <t>Определения сверены с DORA: https://dora.dev/guides/dora-metrics/ (обновление страницы 05.01.2026). SPI/CPI и число открытых дефектов</t>
  </si>
  <si>
    <t>уточнение.</t>
  </si>
  <si>
    <t>проверки её пригодности.</t>
  </si>
  <si>
    <t>— другие показатели.</t>
  </si>
  <si>
    <t>4. Выберите до трёх приоритетных исправлений. Если существенных замечаний меньше, не придумывайте недостающие. Укажите владельца и</t>
  </si>
  <si>
    <t>Допущения двух прогнозов</t>
  </si>
  <si>
    <t>срок только для реально выбранных исправлений.</t>
  </si>
  <si>
    <t>□ Расчёт использует остаточные длительности, а не исходные 21 день С06.</t>
  </si>
  <si>
    <t>5. По D13 отдельно подготовьте рекомендацию о приёмке, передаче в эксплуатацию и закрытии проекта. Назовите, кто принимает каждое</t>
  </si>
  <si>
    <t>□ Исключённая зависимость не возвращена в выпуск незаметно.</t>
  </si>
  <si>
    <t>решение, какие обязательства остаются и кто измерит выгоды после пилота.</t>
  </si>
  <si>
    <t>□ Ускорение одной работы не равно такому же ускорению проекта; проверен новый критический путь.</t>
  </si>
  <si>
    <t>6. После общего разбора самостоятельно выполните выданный вариант индивидуальной проверки за 12 минут. Этот ответ сдаёт каждый</t>
  </si>
  <si>
    <t>Сохраняются наблюдаемые ожидания и текущая работа в нескольких направлениях.</t>
  </si>
  <si>
    <t>□ Бюджет, прогноз и резерв различены; решение меняет связанные основы.</t>
  </si>
  <si>
    <t>участник отдельно; он не включается в командную взаимную проверку.</t>
  </si>
  <si>
    <t>Выделить работу на завершение</t>
  </si>
  <si>
    <t>□ Замечание опирается на конкретное свидетельство, а не на отличие от решения рецензента.</t>
  </si>
  <si>
    <t>Команда прекращает начинать необязательные работы; технический руководитель подтверждает оценки. В ETC включены 0,08 млн ₽ реакции.</t>
  </si>
  <si>
    <t>□ Планируемые доказательства не представлены как уже полученные.</t>
  </si>
  <si>
    <t>□ Нет требования найти ровно три дефекта.</t>
  </si>
  <si>
    <t>□ Приёмка, эксплуатационный допуск и закрытие различены по основаниям и полномочиям.</t>
  </si>
  <si>
    <t>□ Недостигнутые ещё выгоды имеют владельца и будущий замер; их достижение не выдумано.</t>
  </si>
  <si>
    <t>Переход: В итоговом пакете остаются собственные решения, замечания и ответ на них. Учебный результат — способность обосновать решение</t>
  </si>
  <si>
    <t>Переход: Сохраните исходную базу и сценарий команды отдельно. В С13 рецензируется связность вашего пакета; иная карточка другой</t>
  </si>
  <si>
    <t>по данным, а не совпадение всех пакетов.</t>
  </si>
  <si>
    <t>команды не делает её даты ошибочными.</t>
  </si>
  <si>
    <t>D13 · Общие свидетельства для решения о завершении</t>
  </si>
  <si>
    <t>UniFlow · состояние на конец 24.11.2026</t>
  </si>
  <si>
    <t>Отдельная общая учебная контрольная точка 1 декабря, UniFlow 1.0. Она не отменяет исторические решения команд и не доказывает</t>
  </si>
  <si>
    <t>SPI (задан)</t>
  </si>
  <si>
    <t>D12 · Остаточный план и шесть независимых изменений</t>
  </si>
  <si>
    <t>CPI (задан)</t>
  </si>
  <si>
    <t>Начало 25 ноября. Дни 25,26,27,30 ноября — четыре рабочих дня до начала пилота 1 декабря. Выходные 28–29 ноября. Далее 1–4 декабря</t>
  </si>
  <si>
    <t>исполнение каждой ветки С12.</t>
  </si>
  <si>
    <t>Данные по реальным работам студентов в эту вводную не добавляются. Рецензия их пакета и рекомендация по этой контрольной точке — два</t>
  </si>
  <si>
    <t>рабочие; гражданские праздники в этой модели не учитываются.</t>
  </si>
  <si>
    <t>разных результата.</t>
  </si>
  <si>
    <t>Выгоды для процесса ещё не измерены после пилота. Пороги M01–M04 остаются целями на срез 28 декабря; сам факт допуска 1 декабря не</t>
  </si>
  <si>
    <t>AC, млн ₽</t>
  </si>
  <si>
    <t>подтверждает их достижение.</t>
  </si>
  <si>
    <t>Остаточные работы R1/R2/M — отдельная модель, не новые названия исходных A–D из С06. Полный первоначальный цикл безопасности уже шёл</t>
  </si>
  <si>
    <t>Для рекомендации используйте права из С02: приёмка результата P06 — куратор; допуск P04 / передача — эксплуатация; риск ИБ P05 — ИБ.</t>
  </si>
  <si>
    <t>Для этой вводной дополнительно установлено: закрытие проекта подтверждает куратор после передачи остаточных обязательств.</t>
  </si>
  <si>
    <t>ранее; ниже только оставшиеся работы и дополнительные проверки.</t>
  </si>
  <si>
    <t>Свидетельства</t>
  </si>
  <si>
    <t>AC=4,10; ETC обязательных оставшихся работ=0,45; прогноз расходов=4,55 млн ₽. BAC=4,80 включает неиспользованный резерв 0,25. Дельта</t>
  </si>
  <si>
    <t>Внутренний процесс UniFlow · рабочие дни</t>
  </si>
  <si>
    <t>Версия / дата</t>
  </si>
  <si>
    <t>карточки прибавляется к ETC, если карточка принята; перенос даты сам по себе не добавляет иных расходов в упрощённой модели.</t>
  </si>
  <si>
    <t>ACC-10</t>
  </si>
  <si>
    <t>Ранее</t>
  </si>
  <si>
    <t>1.0; 30.11</t>
  </si>
  <si>
    <t>100 обязательных проверок выполнены успешно; критичных дефектов в реестре нет; протокол соответствует составу этой сборки.</t>
  </si>
  <si>
    <t>Позднее</t>
  </si>
  <si>
    <t>Это обязательные проверки, а не полная гарантия всех возможных сценариев.</t>
  </si>
  <si>
    <t>SEC-10</t>
  </si>
  <si>
    <t>ИБ подтвердила матрицу доступа, SSO и отсутствие известных критичных нарушений в проверенных сценариях.</t>
  </si>
  <si>
    <t>Дата готовности — конец вычисленного рабочего дня. Готовность в конце 30 ноября позволяет начать пилот 1 декабря. Готовность позже</t>
  </si>
  <si>
    <t>Новые изменения прав потребуют анализа и повторных проверок.</t>
  </si>
  <si>
    <t>OPS-10</t>
  </si>
  <si>
    <t>Восстановление согласованного тестового набора заняло 42 минуты; контроль полноты успешен; дежурство и ответственные назначены; 6 администраторов прошли обучение.</t>
  </si>
  <si>
    <t>Подтверждается выданный сценарий восстановления.</t>
  </si>
  <si>
    <t>требует решения об изменении даты.</t>
  </si>
  <si>
    <t>DEF-10</t>
  </si>
  <si>
    <t>Остаётся некритичный косметический дефект подписи. Владелец — техлид; исправление до 8 декабря принято в план сопровождения с согласованным ресурсом.</t>
  </si>
  <si>
    <t>Куратор должен явно рассмотреть это отклонение при приёмке; скрывать его нельзя.</t>
  </si>
  <si>
    <t>CLOSE-10</t>
  </si>
  <si>
    <t>1 декабря</t>
  </si>
  <si>
    <t>Обязательные документы и права доступа переданы эксплуатации по акту; расчёты по контрактам сверены; остаточное исправление и план замеров выгод переданы владельцам.</t>
  </si>
  <si>
    <t>До получения новой версии и результатов проверок выпуск остаётся планируемым. M — решение уполномоченной стороны с нулевой</t>
  </si>
  <si>
    <t>Передачи документов недостаточно без решения уполномоченной стороны.</t>
  </si>
  <si>
    <t>BEN-10</t>
  </si>
  <si>
    <t>Владелец продукта принял измерение M01/M04, координатор — M02/M03 на 28 декабря. Значений за период пилота пока нет.</t>
  </si>
  <si>
    <t>Недопустимо писать «выгоды достигнуты» или подставлять целевые значения как факт.</t>
  </si>
  <si>
    <t>длительностью; дополнительные тесты являются отдельной работой, а не «длительностью решения».</t>
  </si>
  <si>
    <t>Результаты и ресурсы остаточного плана</t>
  </si>
  <si>
    <t>Среднее время внутреннего процесса</t>
  </si>
  <si>
    <t>Период</t>
  </si>
  <si>
    <t>Расчёт, рабочих дней</t>
  </si>
  <si>
    <t>Финальная сборка и закрытие согласованных технических замечаний</t>
  </si>
  <si>
    <t>Техническая группа</t>
  </si>
  <si>
    <t>Проверенное восстановление и обученная поддержка</t>
  </si>
  <si>
    <t>Эксплуатационная группа</t>
  </si>
  <si>
    <t>Решение о допуске по доказательствам</t>
  </si>
  <si>
    <t>Эксплуатация с заключением ИБ</t>
  </si>
  <si>
    <t>Условия карточек и полномочия</t>
  </si>
  <si>
    <t>Буква</t>
  </si>
  <si>
    <t>Новая информация</t>
  </si>
  <si>
    <t>Уточнение полномочий</t>
  </si>
  <si>
    <t>Обязательное дополнительное требование безопасности</t>
  </si>
  <si>
    <t>ИБ подтверждает обязательность и доказательства; куратор решает влияние на базовую дату/финансирование; эксплуатация допускает.</t>
  </si>
  <si>
    <t>Предложен дополнительный отчёт к пилоту</t>
  </si>
  <si>
    <t>Владелец продукта определяет приоритет; выход за авторизованные границы и дату требует куратора.</t>
  </si>
  <si>
    <t>Поставщик сообщил задержку внешнего обмена с реестром на 5 дней</t>
  </si>
  <si>
    <t>РП проверяет договорное основание и эскалирует изменение прогноза куратору. Вернуть обмен в пилот можно только отдельным изменением с объёмом.</t>
  </si>
  <si>
    <t>UniFlow · остаток: R1 и R2 параллельно, M = 0</t>
  </si>
  <si>
    <t>Подтверждён второй инженер для R1</t>
  </si>
  <si>
    <t>РП готовит использование ресурса; расход резерва одобряется уполномоченным куратором.</t>
  </si>
  <si>
    <t>E</t>
  </si>
  <si>
    <t>R1 min</t>
  </si>
  <si>
    <t>R1 max</t>
  </si>
  <si>
    <t>Найден дополнительный критичный дефект выпуска</t>
  </si>
  <si>
    <t>R2 min</t>
  </si>
  <si>
    <t>R2 max</t>
  </si>
  <si>
    <t>Техлид организует исправление; ИБ/эксплуатация подтверждают критерий; куратор решает изменение базовой даты.</t>
  </si>
  <si>
    <t>F</t>
  </si>
  <si>
    <t>Подтверждён новый предел финансирования: минус 8% от BAC</t>
  </si>
  <si>
    <t>Куратор должен решить дефицит финансирования / пересмотреть авторизацию; команда представляет сценарий.</t>
  </si>
  <si>
    <t>UniFlow · остаточные затраты, млн ₽</t>
  </si>
  <si>
    <t>Назначенная карточка · одна на команду</t>
  </si>
  <si>
    <t>ETC min</t>
  </si>
  <si>
    <t>ETC max</t>
  </si>
  <si>
    <t>Номер команды (с листа Начало)</t>
  </si>
  <si>
    <t>UniFlow · автоматический прогноз</t>
  </si>
  <si>
    <t>Дней min</t>
  </si>
  <si>
    <t>Дней max</t>
  </si>
  <si>
    <t>Дата min</t>
  </si>
  <si>
    <t>Дата max</t>
  </si>
  <si>
    <t>Стоимость min</t>
  </si>
  <si>
    <t>Буква преподавателя, если номера нет</t>
  </si>
  <si>
    <t>Применяемая карточка</t>
  </si>
  <si>
    <t>Базовые вводные · R1/R2 параллельно, M = 0</t>
  </si>
  <si>
    <t>UniFlow · верхняя граница стоимости</t>
  </si>
  <si>
    <t>R1, рабочих дней</t>
  </si>
  <si>
    <t>Стоимость max, млн ₽</t>
  </si>
  <si>
    <t>R2, рабочих дней</t>
  </si>
  <si>
    <t>ETC, млн ₽</t>
  </si>
  <si>
    <t>BAC, млн ₽</t>
  </si>
  <si>
    <t>Резерв внутри BAC, млн ₽</t>
  </si>
  <si>
    <t>Срок начинается со следующего рабочего дня, 25 ноября. Пятидневная неделя без праздников. Реакция 0,08 уже включена в ETC сценария</t>
  </si>
  <si>
    <t>действия.</t>
  </si>
  <si>
    <t>DORA · отдельный существующий production-сервис</t>
  </si>
  <si>
    <t>Окно наблюдения, календарных дней</t>
  </si>
  <si>
    <t>DORA · сырые события одной системы</t>
  </si>
  <si>
    <t>Deployment</t>
  </si>
  <si>
    <t>День окна</t>
  </si>
  <si>
    <t>Карточки · числовые изменения (применяется одна)</t>
  </si>
  <si>
    <t>Commit → production, дней</t>
  </si>
  <si>
    <t>Неудачный: 1/0</t>
  </si>
  <si>
    <t>Восстановление, часов</t>
  </si>
  <si>
    <t>Из-за инцидента: 1/0</t>
  </si>
  <si>
    <t>DEP-1</t>
  </si>
  <si>
    <t>Доп. работа, дней</t>
  </si>
  <si>
    <t>Изменение затрат, млн ₽</t>
  </si>
  <si>
    <t>Новый R1, дней</t>
  </si>
  <si>
    <t>Множитель BAC</t>
  </si>
  <si>
    <t>DEP-2</t>
  </si>
  <si>
    <t>DEP-3</t>
  </si>
  <si>
    <t>DEP-4</t>
  </si>
  <si>
    <t>DEP-5</t>
  </si>
  <si>
    <t>DORA не описывает UniFlow: 5 deployments, одно 14-дневное окно. Единицы: deployments/неделю; дни; доля; часы; доля.</t>
  </si>
  <si>
    <t>https://dora.dev/guides/dora-metrics/</t>
  </si>
  <si>
    <t>A: QA после R1 и R2; B: RB после R1; C: внешняя работа уже исключена 18.11, задержка 5 дней не добавляется.</t>
  </si>
  <si>
    <t>D: новый R1 включает передачу; E: QE после R1 и R2; F: меняется только BAC, AC и ETC не уменьшаются.</t>
  </si>
  <si>
    <t>Проверка выбранной карточки · расчёт до управленческого решения</t>
  </si>
  <si>
    <t>Расчёт</t>
  </si>
  <si>
    <t>Техническое завершение, рабочих дней</t>
  </si>
  <si>
    <t>Дата технического завершения</t>
  </si>
  <si>
    <t>Прогноз затрат, млн ₽</t>
  </si>
  <si>
    <t>Лимит BAC после изменения, млн ₽</t>
  </si>
  <si>
    <t>Остаток резерва после дополнительных затрат, млн ₽</t>
  </si>
  <si>
    <t>Превышение лимита, млн ₽</t>
  </si>
  <si>
    <t>Исходный резерв рассчитывается как BAC − AC − ETC. Отрицательное значение означает дефицит исходной базы.</t>
  </si>
  <si>
    <t>Для F остаток резерва не пересчитывается автоматически: новое финансирование требует отдельного решения. Техническая дата не означает</t>
  </si>
  <si>
    <t>допуск.</t>
  </si>
  <si>
    <t>Начало 25.11.2026; пятидневная неделя без праздников. A–D из сети С06 здесь не используются.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</si>
</sst>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-mm-dd"/>
    <numFmt numFmtId="166" formatCode="0.000"/>
  </numFmts>
  <fonts count="12">
    <font>
      <sz val="11.0"/>
      <color rgb="FF000000"/>
      <name val="Carlito"/>
      <scheme val="minor"/>
    </font>
    <font>
      <b/>
      <sz val="16.0"/>
      <color rgb="FF20374D"/>
      <name val="Arial"/>
    </font>
    <font>
      <sz val="11.0"/>
      <color rgb="FF20374D"/>
      <name val="Arial"/>
    </font>
    <font>
      <b/>
      <sz val="11.0"/>
      <color rgb="FFFFFFFF"/>
      <name val="Arial"/>
    </font>
    <font>
      <b/>
      <sz val="11.0"/>
      <color rgb="FF20374D"/>
      <name val="Arial"/>
    </font>
    <font>
      <u/>
      <sz val="11.0"/>
      <color rgb="FF1C5D90"/>
      <name val="Arial"/>
    </font>
    <font>
      <sz val="11.0"/>
      <color rgb="FF1C5D90"/>
      <name val="Arial"/>
    </font>
    <font>
      <u/>
      <sz val="11.0"/>
      <color rgb="FF1C5D90"/>
      <name val="Arial"/>
    </font>
    <font>
      <color theme="1"/>
      <name val="Carlito"/>
      <scheme val="minor"/>
    </font>
    <font>
      <b/>
      <color theme="1"/>
      <name val="Carlito"/>
      <scheme val="minor"/>
    </font>
    <font>
      <sz val="11.0"/>
      <color rgb="FFFFFFFF"/>
      <name val="AktivGrotesk"/>
    </font>
    <font>
      <b/>
      <sz val="11.0"/>
      <color rgb="FF1C5D9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44761"/>
        <bgColor rgb="FF244761"/>
      </patternFill>
    </fill>
    <fill>
      <patternFill patternType="solid">
        <fgColor rgb="FFEDF3F6"/>
        <bgColor rgb="FFEDF3F6"/>
      </patternFill>
    </fill>
    <fill>
      <patternFill patternType="solid">
        <fgColor rgb="FFFFFFFF"/>
        <bgColor rgb="FFFFFFFF"/>
      </patternFill>
    </fill>
    <fill>
      <patternFill patternType="solid">
        <fgColor rgb="FFFFF6D8"/>
        <bgColor rgb="FFFFF6D8"/>
      </patternFill>
    </fill>
    <fill>
      <patternFill patternType="solid">
        <fgColor rgb="FF0072BC"/>
        <bgColor rgb="FF0072BC"/>
      </patternFill>
    </fill>
  </fills>
  <borders count="2">
    <border/>
    <border>
      <bottom style="thin">
        <color rgb="FFCDD8E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1" fillId="3" fontId="4" numFmtId="0" xfId="0" applyAlignment="1" applyBorder="1" applyFill="1" applyFont="1">
      <alignment shrinkToFit="0" vertical="top" wrapText="1"/>
    </xf>
    <xf borderId="0" fillId="4" fontId="5" numFmtId="0" xfId="0" applyAlignment="1" applyFill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5" fontId="6" numFmtId="0" xfId="0" applyAlignment="1" applyBorder="1" applyFill="1" applyFont="1">
      <alignment readingOrder="0" shrinkToFit="0" vertical="top" wrapText="1"/>
    </xf>
    <xf borderId="1" fillId="5" fontId="6" numFmtId="1" xfId="0" applyAlignment="1" applyBorder="1" applyFill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0"/>
    </xf>
    <xf borderId="1" fillId="4" fontId="7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1" fillId="5" fontId="6" numFmtId="0" xfId="0" applyAlignment="1" applyBorder="1" applyFill="1" applyFont="1">
      <alignment readingOrder="0" shrinkToFit="0" vertical="top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 shrinkToFit="0" vertical="top" wrapText="1"/>
    </xf>
    <xf borderId="0" fillId="6" fontId="10" numFmtId="0" xfId="0" applyAlignment="1" applyFill="1" applyFont="1">
      <alignment horizontal="left" readingOrder="0" shrinkToFit="0" wrapText="1"/>
    </xf>
    <xf borderId="1" fillId="3" fontId="4" numFmtId="0" xfId="0" applyAlignment="1" applyBorder="1" applyFill="1" applyFont="1">
      <alignment readingOrder="0" shrinkToFit="0" vertical="top" wrapText="1"/>
    </xf>
    <xf borderId="0" fillId="0" fontId="6" numFmtId="0" xfId="0" applyAlignment="1" applyFont="1">
      <alignment shrinkToFit="0" vertical="top" wrapText="0"/>
    </xf>
    <xf borderId="0" fillId="0" fontId="4" numFmtId="0" xfId="0" applyAlignment="1" applyFont="1">
      <alignment readingOrder="0" shrinkToFit="0" vertical="top" wrapText="1"/>
    </xf>
    <xf borderId="0" fillId="5" fontId="6" numFmtId="0" xfId="0" applyAlignment="1" applyFill="1" applyFont="1">
      <alignment shrinkToFit="0" vertical="top" wrapText="1"/>
    </xf>
    <xf borderId="1" fillId="5" fontId="11" numFmtId="0" xfId="0" applyAlignment="1" applyBorder="1" applyFill="1" applyFont="1">
      <alignment shrinkToFit="0" vertical="top" wrapText="1"/>
    </xf>
    <xf borderId="1" fillId="5" fontId="6" numFmtId="1" xfId="0" applyAlignment="1" applyBorder="1" applyFill="1" applyFont="1" applyNumberForma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3" fontId="6" numFmtId="1" xfId="0" applyAlignment="1" applyBorder="1" applyFill="1" applyFont="1" applyNumberFormat="1">
      <alignment shrinkToFit="0" vertical="top" wrapText="1"/>
    </xf>
    <xf borderId="1" fillId="3" fontId="6" numFmtId="2" xfId="0" applyAlignment="1" applyBorder="1" applyFill="1" applyFont="1" applyNumberFormat="1">
      <alignment shrinkToFit="0" vertical="top" wrapText="1"/>
    </xf>
    <xf borderId="1" fillId="5" fontId="6" numFmtId="2" xfId="0" applyAlignment="1" applyBorder="1" applyFill="1" applyFont="1" applyNumberFormat="1">
      <alignment shrinkToFit="0" vertical="top" wrapText="1"/>
    </xf>
    <xf borderId="1" fillId="5" fontId="6" numFmtId="2" xfId="0" applyAlignment="1" applyBorder="1" applyFill="1" applyFont="1" applyNumberFormat="1">
      <alignment readingOrder="0" shrinkToFit="0" vertical="top" wrapText="1"/>
    </xf>
    <xf borderId="1" fillId="5" fontId="6" numFmtId="9" xfId="0" applyAlignment="1" applyBorder="1" applyFill="1" applyFont="1" applyNumberFormat="1">
      <alignment readingOrder="0" shrinkToFit="0" vertical="top" wrapText="1"/>
    </xf>
    <xf borderId="1" fillId="5" fontId="6" numFmtId="9" xfId="0" applyAlignment="1" applyBorder="1" applyFill="1" applyFont="1" applyNumberFormat="1">
      <alignment shrinkToFit="0" vertical="top" wrapText="1"/>
    </xf>
    <xf borderId="1" fillId="3" fontId="2" numFmtId="2" xfId="0" applyAlignment="1" applyBorder="1" applyFill="1" applyFont="1" applyNumberFormat="1">
      <alignment shrinkToFit="0" vertical="top" wrapText="1"/>
    </xf>
    <xf borderId="1" fillId="3" fontId="6" numFmtId="164" xfId="0" applyAlignment="1" applyBorder="1" applyFill="1" applyFont="1" applyNumberFormat="1">
      <alignment shrinkToFit="0" vertical="top" wrapText="1"/>
    </xf>
    <xf borderId="1" fillId="3" fontId="6" numFmtId="9" xfId="0" applyAlignment="1" applyBorder="1" applyFill="1" applyFont="1" applyNumberFormat="1">
      <alignment shrinkToFit="0" vertical="top" wrapText="1"/>
    </xf>
    <xf borderId="1" fillId="3" fontId="2" numFmtId="1" xfId="0" applyAlignment="1" applyBorder="1" applyFill="1" applyFont="1" applyNumberFormat="1">
      <alignment shrinkToFit="0" vertical="top" wrapText="1"/>
    </xf>
    <xf borderId="1" fillId="3" fontId="2" numFmtId="165" xfId="0" applyAlignment="1" applyBorder="1" applyFill="1" applyFont="1" applyNumberFormat="1">
      <alignment shrinkToFit="0" vertical="top" wrapText="1"/>
    </xf>
    <xf borderId="1" fillId="5" fontId="6" numFmtId="49" xfId="0" applyAlignment="1" applyBorder="1" applyFill="1" applyFont="1" applyNumberFormat="1">
      <alignment readingOrder="0" shrinkToFit="0" vertical="top" wrapText="1"/>
    </xf>
    <xf borderId="1" fillId="3" fontId="2" numFmtId="166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0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2.5" customHeight="1">
      <c r="A3" s="3" t="s">
        <v>4</v>
      </c>
      <c r="B3" s="3"/>
      <c r="C3" s="3"/>
      <c r="D3" s="3"/>
      <c r="E3" s="3"/>
      <c r="F3" s="3"/>
    </row>
    <row r="4" ht="27.0" customHeight="1">
      <c r="A4" s="4" t="s">
        <v>6</v>
      </c>
      <c r="B4" s="4"/>
      <c r="C4" s="4"/>
      <c r="D4" s="4"/>
      <c r="E4" s="4"/>
      <c r="F4" s="4"/>
    </row>
    <row r="5" ht="48.75" customHeight="1">
      <c r="A5" s="5" t="s">
        <v>7</v>
      </c>
      <c r="B5" s="5" t="s">
        <v>8</v>
      </c>
      <c r="C5" s="2"/>
      <c r="D5" s="2"/>
      <c r="E5" s="2"/>
      <c r="F5" s="2"/>
    </row>
    <row r="6" ht="37.5" customHeight="1">
      <c r="A6" s="7" t="s">
        <v>9</v>
      </c>
      <c r="B6" s="8" t="s">
        <v>11</v>
      </c>
      <c r="C6" s="2"/>
      <c r="D6" s="2"/>
      <c r="E6" s="2"/>
      <c r="F6" s="2"/>
    </row>
    <row r="7" ht="37.5" customHeight="1">
      <c r="A7" s="7" t="s">
        <v>13</v>
      </c>
      <c r="B7" s="9">
        <v>11.0</v>
      </c>
      <c r="C7" s="2"/>
      <c r="D7" s="2"/>
      <c r="E7" s="2"/>
      <c r="F7" s="2"/>
    </row>
    <row r="8" ht="37.5" customHeight="1">
      <c r="A8" s="7" t="s">
        <v>19</v>
      </c>
      <c r="B8" s="8" t="s">
        <v>20</v>
      </c>
      <c r="C8" s="2"/>
      <c r="D8" s="2"/>
      <c r="E8" s="2"/>
      <c r="F8" s="2"/>
    </row>
    <row r="9" ht="21.75" customHeight="1">
      <c r="A9" s="2"/>
      <c r="B9" s="2"/>
      <c r="C9" s="2"/>
      <c r="D9" s="2"/>
      <c r="E9" s="2"/>
      <c r="F9" s="2"/>
    </row>
    <row r="10" ht="21.75" customHeight="1">
      <c r="A10" s="2"/>
      <c r="B10" s="2"/>
      <c r="C10" s="2"/>
      <c r="D10" s="2"/>
      <c r="E10" s="2"/>
      <c r="F10" s="2"/>
    </row>
    <row r="11" ht="22.5" customHeight="1">
      <c r="A11" s="3" t="s">
        <v>24</v>
      </c>
      <c r="B11" s="3"/>
      <c r="C11" s="3"/>
      <c r="D11" s="3"/>
      <c r="E11" s="3"/>
      <c r="F11" s="3"/>
    </row>
    <row r="12" ht="22.5" customHeight="1">
      <c r="A12" s="13" t="s">
        <v>26</v>
      </c>
      <c r="B12" s="3"/>
      <c r="C12" s="3"/>
      <c r="D12" s="3"/>
      <c r="E12" s="3"/>
      <c r="F12" s="3"/>
    </row>
    <row r="13" ht="22.5" customHeight="1">
      <c r="A13" s="3" t="s">
        <v>29</v>
      </c>
      <c r="B13" s="3"/>
      <c r="C13" s="3"/>
      <c r="D13" s="3"/>
      <c r="E13" s="3"/>
      <c r="F13" s="3"/>
    </row>
    <row r="14" ht="22.5" customHeight="1">
      <c r="A14" s="13" t="s">
        <v>32</v>
      </c>
      <c r="B14" s="3"/>
      <c r="C14" s="3"/>
      <c r="D14" s="3"/>
      <c r="E14" s="3"/>
      <c r="F14" s="3"/>
    </row>
    <row r="15" ht="22.5" customHeight="1">
      <c r="A15" s="3" t="s">
        <v>33</v>
      </c>
      <c r="B15" s="3"/>
      <c r="C15" s="3"/>
      <c r="D15" s="3"/>
      <c r="E15" s="3"/>
      <c r="F15" s="3"/>
    </row>
    <row r="16" ht="22.5" customHeight="1">
      <c r="A16" s="3" t="s">
        <v>35</v>
      </c>
      <c r="B16" s="3"/>
      <c r="C16" s="3"/>
      <c r="D16" s="3"/>
      <c r="E16" s="3"/>
      <c r="F16" s="3"/>
    </row>
    <row r="17" ht="22.5" customHeight="1">
      <c r="A17" s="3" t="s">
        <v>36</v>
      </c>
      <c r="B17" s="3"/>
      <c r="C17" s="3"/>
      <c r="D17" s="3"/>
      <c r="E17" s="3"/>
      <c r="F17" s="3"/>
    </row>
    <row r="18" ht="27.0" customHeight="1">
      <c r="A18" s="4" t="s">
        <v>39</v>
      </c>
      <c r="B18" s="4"/>
      <c r="C18" s="4"/>
      <c r="D18" s="4"/>
      <c r="E18" s="4"/>
      <c r="F18" s="4"/>
    </row>
    <row r="19" ht="48.75" customHeight="1">
      <c r="A19" s="5" t="s">
        <v>41</v>
      </c>
      <c r="B19" s="5" t="s">
        <v>42</v>
      </c>
      <c r="C19" s="2"/>
      <c r="D19" s="2"/>
      <c r="E19" s="2"/>
      <c r="F19" s="2"/>
    </row>
    <row r="20" ht="42.0" customHeight="1">
      <c r="A20" s="14" t="s">
        <v>47</v>
      </c>
      <c r="B20" s="15" t="s">
        <v>54</v>
      </c>
      <c r="C20" s="2"/>
      <c r="D20" s="2"/>
      <c r="E20" s="2"/>
      <c r="F20" s="2"/>
    </row>
    <row r="21" ht="42.0" customHeight="1">
      <c r="A21" s="14" t="s">
        <v>60</v>
      </c>
      <c r="B21" s="15" t="s">
        <v>66</v>
      </c>
      <c r="C21" s="2"/>
      <c r="D21" s="2"/>
      <c r="E21" s="2"/>
      <c r="F21" s="2"/>
    </row>
    <row r="22" ht="42.0" customHeight="1">
      <c r="A22" s="14" t="s">
        <v>71</v>
      </c>
      <c r="B22" s="15" t="s">
        <v>80</v>
      </c>
      <c r="C22" s="2"/>
      <c r="D22" s="2"/>
      <c r="E22" s="2"/>
      <c r="F22" s="2"/>
    </row>
    <row r="23" ht="42.0" customHeight="1">
      <c r="A23" s="14" t="s">
        <v>82</v>
      </c>
      <c r="B23" s="15" t="s">
        <v>86</v>
      </c>
      <c r="C23" s="2"/>
      <c r="D23" s="2"/>
      <c r="E23" s="2"/>
      <c r="F23" s="2"/>
    </row>
    <row r="24" ht="42.0" customHeight="1">
      <c r="A24" s="14" t="s">
        <v>89</v>
      </c>
      <c r="B24" s="15" t="s">
        <v>95</v>
      </c>
      <c r="C24" s="2"/>
      <c r="D24" s="2"/>
      <c r="E24" s="2"/>
      <c r="F24" s="2"/>
    </row>
    <row r="25" ht="37.5" customHeight="1">
      <c r="A25" s="14" t="s">
        <v>98</v>
      </c>
      <c r="B25" s="15" t="s">
        <v>104</v>
      </c>
      <c r="C25" s="2"/>
      <c r="D25" s="2"/>
      <c r="E25" s="2"/>
      <c r="F25" s="2"/>
    </row>
    <row r="26" ht="42.0" customHeight="1">
      <c r="A26" s="14" t="s">
        <v>108</v>
      </c>
      <c r="B26" s="15" t="s">
        <v>116</v>
      </c>
      <c r="C26" s="2"/>
      <c r="D26" s="2"/>
      <c r="E26" s="2"/>
      <c r="F26" s="2"/>
    </row>
    <row r="27" ht="42.0" customHeight="1">
      <c r="A27" s="14" t="s">
        <v>121</v>
      </c>
      <c r="B27" s="15" t="s">
        <v>126</v>
      </c>
      <c r="C27" s="2"/>
      <c r="D27" s="2"/>
      <c r="E27" s="2"/>
      <c r="F27" s="2"/>
    </row>
    <row r="28" ht="42.0" customHeight="1">
      <c r="A28" s="14" t="s">
        <v>128</v>
      </c>
      <c r="B28" s="15" t="s">
        <v>133</v>
      </c>
      <c r="C28" s="2"/>
      <c r="D28" s="2"/>
      <c r="E28" s="2"/>
      <c r="F28" s="2"/>
    </row>
    <row r="29" ht="42.0" customHeight="1">
      <c r="A29" s="14" t="s">
        <v>140</v>
      </c>
      <c r="B29" s="15" t="s">
        <v>143</v>
      </c>
      <c r="C29" s="2"/>
      <c r="D29" s="2"/>
      <c r="E29" s="2"/>
      <c r="F29" s="2"/>
    </row>
    <row r="30" ht="42.0" customHeight="1">
      <c r="A30" s="14" t="s">
        <v>149</v>
      </c>
      <c r="B30" s="15" t="s">
        <v>154</v>
      </c>
      <c r="C30" s="2"/>
      <c r="D30" s="2"/>
      <c r="E30" s="2"/>
      <c r="F30" s="2"/>
    </row>
    <row r="31" ht="42.0" customHeight="1">
      <c r="A31" s="14" t="s">
        <v>160</v>
      </c>
      <c r="B31" s="15" t="s">
        <v>167</v>
      </c>
      <c r="C31" s="2"/>
      <c r="D31" s="2"/>
      <c r="E31" s="2"/>
      <c r="F31" s="2"/>
    </row>
    <row r="32" ht="42.0" customHeight="1">
      <c r="A32" s="14" t="s">
        <v>171</v>
      </c>
      <c r="B32" s="15" t="s">
        <v>175</v>
      </c>
      <c r="C32" s="2"/>
      <c r="D32" s="2"/>
      <c r="E32" s="2"/>
      <c r="F32" s="2"/>
    </row>
    <row r="33" ht="21.75" customHeight="1">
      <c r="A33" s="2"/>
      <c r="B33" s="2"/>
      <c r="C33" s="2"/>
      <c r="D33" s="2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6" t="s">
        <v>177</v>
      </c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181</v>
      </c>
      <c r="B37" s="4"/>
      <c r="C37" s="4"/>
      <c r="D37" s="4"/>
      <c r="E37" s="4"/>
      <c r="F37" s="4"/>
    </row>
    <row r="38" ht="22.5" customHeight="1">
      <c r="A38" s="10" t="s">
        <v>184</v>
      </c>
      <c r="B38" s="10"/>
      <c r="C38" s="10"/>
      <c r="D38" s="10"/>
      <c r="E38" s="10"/>
      <c r="F38" s="10"/>
    </row>
    <row r="39" ht="22.5" customHeight="1">
      <c r="A39" s="23" t="s">
        <v>188</v>
      </c>
      <c r="B39" s="23"/>
      <c r="C39" s="23"/>
      <c r="D39" s="23"/>
      <c r="E39" s="23"/>
      <c r="F39" s="23"/>
    </row>
    <row r="40" ht="22.5" customHeight="1">
      <c r="A40" s="10" t="s">
        <v>195</v>
      </c>
      <c r="B40" s="10"/>
      <c r="C40" s="10"/>
      <c r="D40" s="10"/>
      <c r="E40" s="10"/>
      <c r="F40" s="10"/>
    </row>
    <row r="41" ht="22.5" customHeight="1">
      <c r="A41" s="23" t="s">
        <v>199</v>
      </c>
      <c r="B41" s="23"/>
      <c r="C41" s="23"/>
      <c r="D41" s="23"/>
      <c r="E41" s="23"/>
      <c r="F41" s="23"/>
    </row>
    <row r="42" ht="22.5" customHeight="1">
      <c r="A42" s="10" t="s">
        <v>202</v>
      </c>
      <c r="B42" s="10"/>
      <c r="C42" s="10"/>
      <c r="D42" s="10"/>
      <c r="E42" s="10"/>
      <c r="F42" s="10"/>
    </row>
    <row r="43" ht="22.5" customHeight="1">
      <c r="A43" s="23" t="s">
        <v>206</v>
      </c>
      <c r="B43" s="23"/>
      <c r="C43" s="23"/>
      <c r="D43" s="23"/>
      <c r="E43" s="23"/>
      <c r="F43" s="23"/>
    </row>
    <row r="44" ht="22.5" customHeight="1">
      <c r="A44" s="3" t="s">
        <v>211</v>
      </c>
      <c r="B44" s="3"/>
      <c r="C44" s="3"/>
      <c r="D44" s="3"/>
      <c r="E44" s="3"/>
      <c r="F44" s="3"/>
    </row>
    <row r="45" ht="22.5" customHeight="1">
      <c r="A45" s="3" t="s">
        <v>213</v>
      </c>
      <c r="B45" s="3"/>
      <c r="C45" s="3"/>
      <c r="D45" s="3"/>
      <c r="E45" s="3"/>
      <c r="F45" s="3"/>
    </row>
    <row r="46" ht="22.5" customHeight="1">
      <c r="A46" s="3" t="s">
        <v>217</v>
      </c>
      <c r="B46" s="3"/>
      <c r="C46" s="3"/>
      <c r="D46" s="3"/>
      <c r="E46" s="3"/>
      <c r="F46" s="3"/>
    </row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B7">
      <formula1>1.0</formula1>
      <formula2>999.0</formula2>
    </dataValidation>
  </dataValidations>
  <hyperlinks>
    <hyperlink display="С01 →" location="'С01_Успех'!A1" ref="A20"/>
    <hyperlink display="С02 →" location="'С02_Решения'!A1" ref="A21"/>
    <hyperlink display="С03 →" location="'С03_Подход'!A1" ref="A22"/>
    <hyperlink display="С04 →" location="'С04_Обоснование'!A1" ref="A23"/>
    <hyperlink display="С05 →" location="'С05_Содержание'!A1" ref="A24"/>
    <hyperlink display="С06 →" location="'С06_Расписание'!A1" ref="A25"/>
    <hyperlink display="С07 →" location="'С07_Взаимодействие'!A1" ref="A26"/>
    <hyperlink display="С08 →" location="'С08_Экономика'!A1" ref="A27"/>
    <hyperlink display="С09 →" location="'С09_Готовность'!A1" ref="A28"/>
    <hyperlink display="С10 →" location="'С10_Риски'!A1" ref="A29"/>
    <hyperlink display="С11 →" location="'С11_Диагностика'!A1" ref="A30"/>
    <hyperlink display="С12 →" location="'С12_Изменение'!A1" ref="A31"/>
    <hyperlink display="С13 →" location="'С13_Завершение'!A1" ref="A32"/>
    <hyperlink display="Кейс UniFlow →" location="'Кейс'!A1" ref="A35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6" t="s">
        <v>5</v>
      </c>
      <c r="B3" s="2"/>
      <c r="C3" s="2"/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1.75" customHeight="1">
      <c r="A5" s="2"/>
      <c r="B5" s="2"/>
      <c r="C5" s="2"/>
      <c r="D5" s="2"/>
      <c r="E5" s="2"/>
      <c r="F5" s="2"/>
    </row>
    <row r="6" ht="22.5" customHeight="1">
      <c r="A6" s="3" t="s">
        <v>12</v>
      </c>
      <c r="B6" s="3"/>
      <c r="C6" s="3"/>
      <c r="D6" s="3"/>
      <c r="E6" s="3"/>
      <c r="F6" s="3"/>
    </row>
    <row r="7" ht="21.75" customHeight="1">
      <c r="A7" s="2"/>
      <c r="B7" s="2"/>
      <c r="C7" s="2"/>
      <c r="D7" s="2"/>
      <c r="E7" s="2"/>
      <c r="F7" s="2"/>
    </row>
    <row r="8" ht="22.5" customHeight="1">
      <c r="A8" s="3" t="s">
        <v>14</v>
      </c>
      <c r="B8" s="3"/>
      <c r="C8" s="3"/>
      <c r="D8" s="3"/>
      <c r="E8" s="3"/>
      <c r="F8" s="3"/>
    </row>
    <row r="9" ht="22.5" customHeight="1">
      <c r="A9" s="3" t="s">
        <v>17</v>
      </c>
      <c r="B9" s="3"/>
      <c r="C9" s="3"/>
      <c r="D9" s="3"/>
      <c r="E9" s="3"/>
      <c r="F9" s="3"/>
    </row>
    <row r="10" ht="22.5" customHeight="1">
      <c r="A10" s="3" t="s">
        <v>18</v>
      </c>
      <c r="B10" s="3"/>
      <c r="C10" s="3"/>
      <c r="D10" s="3"/>
      <c r="E10" s="3"/>
      <c r="F10" s="3"/>
    </row>
    <row r="11" ht="21.75" customHeight="1">
      <c r="A11" s="2"/>
      <c r="B11" s="2"/>
      <c r="C11" s="2"/>
      <c r="D11" s="2"/>
      <c r="E11" s="2"/>
      <c r="F11" s="2"/>
    </row>
    <row r="12" ht="22.5" customHeight="1">
      <c r="A12" s="3" t="s">
        <v>22</v>
      </c>
      <c r="B12" s="3"/>
      <c r="C12" s="3"/>
      <c r="D12" s="3"/>
      <c r="E12" s="3"/>
      <c r="F12" s="3"/>
    </row>
    <row r="13" ht="22.5" customHeight="1">
      <c r="A13" s="3" t="s">
        <v>25</v>
      </c>
      <c r="B13" s="3"/>
      <c r="C13" s="3"/>
      <c r="D13" s="3"/>
      <c r="E13" s="3"/>
      <c r="F13" s="3"/>
    </row>
    <row r="14" ht="22.5" customHeight="1">
      <c r="A14" s="3" t="s">
        <v>28</v>
      </c>
      <c r="B14" s="3"/>
      <c r="C14" s="3"/>
      <c r="D14" s="3"/>
      <c r="E14" s="3"/>
      <c r="F14" s="3"/>
    </row>
    <row r="15" ht="21.75" customHeight="1">
      <c r="A15" s="2"/>
      <c r="B15" s="2"/>
      <c r="C15" s="2"/>
      <c r="D15" s="2"/>
      <c r="E15" s="2"/>
      <c r="F15" s="2"/>
    </row>
    <row r="16" ht="21.75" customHeight="1">
      <c r="A16" s="2"/>
      <c r="B16" s="2"/>
      <c r="C16" s="2"/>
      <c r="D16" s="2"/>
      <c r="E16" s="2"/>
      <c r="F16" s="2"/>
    </row>
    <row r="17" ht="27.0" customHeight="1">
      <c r="A17" s="4" t="s">
        <v>40</v>
      </c>
      <c r="B17" s="4"/>
      <c r="C17" s="4"/>
      <c r="D17" s="4"/>
      <c r="E17" s="4"/>
      <c r="F17" s="4"/>
    </row>
    <row r="18" ht="21.75" customHeight="1">
      <c r="A18" s="2"/>
      <c r="B18" s="2"/>
      <c r="C18" s="2"/>
      <c r="D18" s="2"/>
      <c r="E18" s="2"/>
      <c r="F18" s="2"/>
    </row>
    <row r="19" ht="22.5" customHeight="1">
      <c r="A19" s="3" t="s">
        <v>46</v>
      </c>
      <c r="B19" s="3"/>
      <c r="C19" s="3"/>
      <c r="D19" s="3"/>
      <c r="E19" s="3"/>
      <c r="F19" s="3"/>
    </row>
    <row r="20" ht="22.5" customHeight="1">
      <c r="A20" s="3" t="s">
        <v>50</v>
      </c>
      <c r="B20" s="3"/>
      <c r="C20" s="3"/>
      <c r="D20" s="3"/>
      <c r="E20" s="3"/>
      <c r="F20" s="3"/>
    </row>
    <row r="21" ht="22.5" customHeight="1">
      <c r="A21" s="3" t="s">
        <v>53</v>
      </c>
      <c r="B21" s="3"/>
      <c r="C21" s="3"/>
      <c r="D21" s="3"/>
      <c r="E21" s="3"/>
      <c r="F21" s="3"/>
    </row>
    <row r="22" ht="21.75" customHeight="1">
      <c r="A22" s="2"/>
      <c r="B22" s="2"/>
      <c r="C22" s="2"/>
      <c r="D22" s="2"/>
      <c r="E22" s="2"/>
      <c r="F22" s="2"/>
    </row>
    <row r="23" ht="22.5" customHeight="1">
      <c r="A23" s="3" t="s">
        <v>57</v>
      </c>
      <c r="B23" s="3"/>
      <c r="C23" s="3"/>
      <c r="D23" s="3"/>
      <c r="E23" s="3"/>
      <c r="F23" s="3"/>
    </row>
    <row r="24" ht="22.5" customHeight="1">
      <c r="A24" s="3" t="s">
        <v>61</v>
      </c>
      <c r="B24" s="3"/>
      <c r="C24" s="3"/>
      <c r="D24" s="3"/>
      <c r="E24" s="3"/>
      <c r="F24" s="3"/>
    </row>
    <row r="25" ht="22.5" customHeight="1">
      <c r="A25" s="3" t="s">
        <v>62</v>
      </c>
      <c r="B25" s="3"/>
      <c r="C25" s="3"/>
      <c r="D25" s="3"/>
      <c r="E25" s="3"/>
      <c r="F25" s="3"/>
    </row>
    <row r="26" ht="22.5" customHeight="1">
      <c r="A26" s="3" t="s">
        <v>65</v>
      </c>
      <c r="B26" s="3"/>
      <c r="C26" s="3"/>
      <c r="D26" s="3"/>
      <c r="E26" s="3"/>
      <c r="F26" s="3"/>
    </row>
    <row r="27" ht="21.75" customHeight="1">
      <c r="A27" s="2"/>
      <c r="B27" s="2"/>
      <c r="C27" s="2"/>
      <c r="D27" s="2"/>
      <c r="E27" s="2"/>
      <c r="F27" s="2"/>
    </row>
    <row r="28" ht="22.5" customHeight="1">
      <c r="A28" s="3" t="s">
        <v>75</v>
      </c>
      <c r="B28" s="3"/>
      <c r="C28" s="3"/>
      <c r="D28" s="3"/>
      <c r="E28" s="3"/>
      <c r="F28" s="3"/>
    </row>
    <row r="29" ht="22.5" customHeight="1">
      <c r="A29" s="3" t="s">
        <v>78</v>
      </c>
      <c r="B29" s="3"/>
      <c r="C29" s="3"/>
      <c r="D29" s="3"/>
      <c r="E29" s="3"/>
      <c r="F29" s="3"/>
    </row>
    <row r="30" ht="22.5" customHeight="1">
      <c r="A30" s="3" t="s">
        <v>81</v>
      </c>
      <c r="B30" s="3"/>
      <c r="C30" s="3"/>
      <c r="D30" s="3"/>
      <c r="E30" s="3"/>
      <c r="F30" s="3"/>
    </row>
    <row r="31" ht="21.75" customHeight="1">
      <c r="A31" s="2"/>
      <c r="B31" s="2"/>
      <c r="C31" s="2"/>
      <c r="D31" s="2"/>
      <c r="E31" s="2"/>
      <c r="F31" s="2"/>
    </row>
    <row r="32" ht="22.5" customHeight="1">
      <c r="A32" s="3" t="s">
        <v>90</v>
      </c>
      <c r="B32" s="3"/>
      <c r="C32" s="3"/>
      <c r="D32" s="3"/>
      <c r="E32" s="3"/>
      <c r="F32" s="3"/>
    </row>
    <row r="33" ht="22.5" customHeight="1">
      <c r="A33" s="3" t="s">
        <v>97</v>
      </c>
      <c r="B33" s="3"/>
      <c r="C33" s="3"/>
      <c r="D33" s="3"/>
      <c r="E33" s="3"/>
      <c r="F33" s="3"/>
    </row>
    <row r="34" ht="22.5" customHeight="1">
      <c r="A34" s="3" t="s">
        <v>101</v>
      </c>
      <c r="B34" s="3"/>
      <c r="C34" s="3"/>
      <c r="D34" s="3"/>
      <c r="E34" s="3"/>
      <c r="F34" s="3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112</v>
      </c>
      <c r="B37" s="4"/>
      <c r="C37" s="4"/>
      <c r="D37" s="4"/>
      <c r="E37" s="4"/>
      <c r="F37" s="4"/>
    </row>
    <row r="38" ht="21.75" customHeight="1">
      <c r="A38" s="2"/>
      <c r="B38" s="2"/>
      <c r="C38" s="2"/>
      <c r="D38" s="2"/>
      <c r="E38" s="2"/>
      <c r="F38" s="2"/>
    </row>
    <row r="39" ht="22.5" customHeight="1">
      <c r="A39" s="3" t="s">
        <v>119</v>
      </c>
      <c r="B39" s="3"/>
      <c r="C39" s="3"/>
      <c r="D39" s="3"/>
      <c r="E39" s="3"/>
      <c r="F39" s="3"/>
    </row>
    <row r="40" ht="22.5" customHeight="1">
      <c r="A40" s="3" t="s">
        <v>123</v>
      </c>
      <c r="B40" s="3"/>
      <c r="C40" s="3"/>
      <c r="D40" s="3"/>
      <c r="E40" s="3"/>
      <c r="F40" s="3"/>
    </row>
    <row r="41" ht="22.5" customHeight="1">
      <c r="A41" s="3" t="s">
        <v>124</v>
      </c>
      <c r="B41" s="3"/>
      <c r="C41" s="3"/>
      <c r="D41" s="3"/>
      <c r="E41" s="3"/>
      <c r="F41" s="3"/>
    </row>
    <row r="42" ht="21.75" customHeight="1">
      <c r="A42" s="2"/>
      <c r="B42" s="2"/>
      <c r="C42" s="2"/>
      <c r="D42" s="2"/>
      <c r="E42" s="2"/>
      <c r="F42" s="2"/>
    </row>
    <row r="43" ht="22.5" customHeight="1">
      <c r="A43" s="3" t="s">
        <v>129</v>
      </c>
      <c r="B43" s="3"/>
      <c r="C43" s="3"/>
      <c r="D43" s="3"/>
      <c r="E43" s="3"/>
      <c r="F43" s="3"/>
    </row>
    <row r="44" ht="22.5" customHeight="1">
      <c r="A44" s="3" t="s">
        <v>132</v>
      </c>
      <c r="B44" s="3"/>
      <c r="C44" s="3"/>
      <c r="D44" s="3"/>
      <c r="E44" s="3"/>
      <c r="F44" s="3"/>
    </row>
    <row r="45" ht="22.5" customHeight="1">
      <c r="A45" s="3" t="s">
        <v>136</v>
      </c>
      <c r="B45" s="3"/>
      <c r="C45" s="3"/>
      <c r="D45" s="3"/>
      <c r="E45" s="3"/>
      <c r="F45" s="3"/>
    </row>
    <row r="46" ht="21.75" customHeight="1">
      <c r="A46" s="2"/>
      <c r="B46" s="2"/>
      <c r="C46" s="2"/>
      <c r="D46" s="2"/>
      <c r="E46" s="2"/>
      <c r="F46" s="2"/>
    </row>
    <row r="47" ht="22.5" customHeight="1">
      <c r="A47" s="3" t="s">
        <v>142</v>
      </c>
      <c r="B47" s="3"/>
      <c r="C47" s="3"/>
      <c r="D47" s="3"/>
      <c r="E47" s="3"/>
      <c r="F47" s="3"/>
    </row>
    <row r="48" ht="22.5" customHeight="1">
      <c r="A48" s="3" t="s">
        <v>144</v>
      </c>
      <c r="B48" s="3"/>
      <c r="C48" s="3"/>
      <c r="D48" s="3"/>
      <c r="E48" s="3"/>
      <c r="F48" s="3"/>
    </row>
    <row r="49" ht="22.5" customHeight="1">
      <c r="A49" s="3" t="s">
        <v>148</v>
      </c>
      <c r="B49" s="3"/>
      <c r="C49" s="3"/>
      <c r="D49" s="3"/>
      <c r="E49" s="3"/>
      <c r="F49" s="3"/>
    </row>
    <row r="50" ht="22.5" customHeight="1">
      <c r="A50" s="3" t="s">
        <v>153</v>
      </c>
      <c r="B50" s="3"/>
      <c r="C50" s="3"/>
      <c r="D50" s="3"/>
      <c r="E50" s="3"/>
      <c r="F50" s="3"/>
    </row>
    <row r="51" ht="21.75" customHeight="1">
      <c r="A51" s="2"/>
      <c r="B51" s="2"/>
      <c r="C51" s="2"/>
      <c r="D51" s="2"/>
      <c r="E51" s="2"/>
      <c r="F51" s="2"/>
    </row>
    <row r="52" ht="22.5" customHeight="1">
      <c r="A52" s="3" t="s">
        <v>161</v>
      </c>
      <c r="B52" s="3"/>
      <c r="C52" s="3"/>
      <c r="D52" s="3"/>
      <c r="E52" s="3"/>
      <c r="F52" s="3"/>
    </row>
    <row r="53" ht="22.5" customHeight="1">
      <c r="A53" s="3" t="s">
        <v>165</v>
      </c>
      <c r="B53" s="3"/>
      <c r="C53" s="3"/>
      <c r="D53" s="3"/>
      <c r="E53" s="3"/>
      <c r="F53" s="3"/>
    </row>
    <row r="54" ht="22.5" customHeight="1">
      <c r="A54" s="3" t="s">
        <v>169</v>
      </c>
      <c r="B54" s="3"/>
      <c r="C54" s="3"/>
      <c r="D54" s="3"/>
      <c r="E54" s="3"/>
      <c r="F54" s="3"/>
    </row>
    <row r="55" ht="21.75" customHeight="1">
      <c r="A55" s="2"/>
      <c r="B55" s="2"/>
      <c r="C55" s="2"/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7.0" customHeight="1">
      <c r="A57" s="4" t="s">
        <v>173</v>
      </c>
      <c r="B57" s="4"/>
      <c r="C57" s="4"/>
      <c r="D57" s="4"/>
      <c r="E57" s="4"/>
      <c r="F57" s="4"/>
    </row>
    <row r="58" ht="21.75" customHeight="1">
      <c r="A58" s="2"/>
      <c r="B58" s="2"/>
      <c r="C58" s="2"/>
      <c r="D58" s="2"/>
      <c r="E58" s="2"/>
      <c r="F58" s="2"/>
    </row>
    <row r="59" ht="22.5" customHeight="1">
      <c r="A59" s="3" t="s">
        <v>178</v>
      </c>
      <c r="B59" s="3"/>
      <c r="C59" s="3"/>
      <c r="D59" s="3"/>
      <c r="E59" s="3"/>
      <c r="F59" s="3"/>
    </row>
    <row r="60" ht="22.5" customHeight="1">
      <c r="A60" s="3" t="s">
        <v>179</v>
      </c>
      <c r="B60" s="3"/>
      <c r="C60" s="3"/>
      <c r="D60" s="3"/>
      <c r="E60" s="3"/>
      <c r="F60" s="3"/>
    </row>
    <row r="61" ht="22.5" customHeight="1">
      <c r="A61" s="3" t="s">
        <v>182</v>
      </c>
      <c r="B61" s="3"/>
      <c r="C61" s="3"/>
      <c r="D61" s="3"/>
      <c r="E61" s="3"/>
      <c r="F61" s="3"/>
    </row>
    <row r="62" ht="21.75" customHeight="1">
      <c r="A62" s="2"/>
      <c r="B62" s="2"/>
      <c r="C62" s="2"/>
      <c r="D62" s="2"/>
      <c r="E62" s="2"/>
      <c r="F62" s="2"/>
    </row>
    <row r="63" ht="22.5" customHeight="1">
      <c r="A63" s="3" t="s">
        <v>189</v>
      </c>
      <c r="B63" s="3"/>
      <c r="C63" s="3"/>
      <c r="D63" s="3"/>
      <c r="E63" s="3"/>
      <c r="F63" s="3"/>
    </row>
    <row r="64" ht="21.75" customHeight="1">
      <c r="A64" s="2"/>
      <c r="B64" s="2"/>
      <c r="C64" s="2"/>
      <c r="D64" s="2"/>
      <c r="E64" s="2"/>
      <c r="F64" s="2"/>
    </row>
    <row r="65" ht="27.0" customHeight="1">
      <c r="A65" s="4" t="s">
        <v>192</v>
      </c>
      <c r="B65" s="4"/>
      <c r="C65" s="4"/>
      <c r="D65" s="4"/>
      <c r="E65" s="4"/>
      <c r="F65" s="4"/>
    </row>
    <row r="66" ht="48.75" customHeight="1">
      <c r="A66" s="5" t="s">
        <v>197</v>
      </c>
      <c r="B66" s="5" t="s">
        <v>198</v>
      </c>
      <c r="C66" s="2"/>
      <c r="D66" s="2"/>
      <c r="E66" s="2"/>
      <c r="F66" s="2"/>
    </row>
    <row r="67" ht="42.0" customHeight="1">
      <c r="A67" s="15" t="s">
        <v>203</v>
      </c>
      <c r="B67" s="15" t="s">
        <v>204</v>
      </c>
      <c r="C67" s="2"/>
      <c r="D67" s="2"/>
      <c r="E67" s="2"/>
      <c r="F67" s="2"/>
    </row>
    <row r="68" ht="72.0" customHeight="1">
      <c r="A68" s="15" t="s">
        <v>209</v>
      </c>
      <c r="B68" s="15" t="s">
        <v>210</v>
      </c>
      <c r="C68" s="2"/>
      <c r="D68" s="2"/>
      <c r="E68" s="2"/>
      <c r="F68" s="2"/>
    </row>
    <row r="69" ht="57.0" customHeight="1">
      <c r="A69" s="15" t="s">
        <v>214</v>
      </c>
      <c r="B69" s="15" t="s">
        <v>216</v>
      </c>
      <c r="C69" s="2"/>
      <c r="D69" s="2"/>
      <c r="E69" s="2"/>
      <c r="F69" s="2"/>
    </row>
    <row r="70" ht="57.0" customHeight="1">
      <c r="A70" s="15" t="s">
        <v>218</v>
      </c>
      <c r="B70" s="15" t="s">
        <v>221</v>
      </c>
      <c r="C70" s="2"/>
      <c r="D70" s="2"/>
      <c r="E70" s="2"/>
      <c r="F70" s="2"/>
    </row>
    <row r="71" ht="21.75" customHeight="1">
      <c r="A71" s="2"/>
      <c r="B71" s="2"/>
      <c r="C71" s="2"/>
      <c r="D71" s="2"/>
      <c r="E71" s="2"/>
      <c r="F71" s="2"/>
    </row>
    <row r="72" ht="21.75" customHeight="1">
      <c r="A72" s="2"/>
      <c r="B72" s="2"/>
      <c r="C72" s="2"/>
      <c r="D72" s="2"/>
      <c r="E72" s="2"/>
      <c r="F72" s="2"/>
    </row>
    <row r="73" ht="21.75" customHeight="1">
      <c r="A73" s="2"/>
      <c r="B73" s="2"/>
      <c r="C73" s="2"/>
      <c r="D73" s="2"/>
      <c r="E73" s="2"/>
      <c r="F73" s="2"/>
    </row>
    <row r="74" ht="22.5" customHeight="1">
      <c r="A74" s="3" t="s">
        <v>224</v>
      </c>
      <c r="B74" s="3"/>
      <c r="C74" s="3"/>
      <c r="D74" s="3"/>
      <c r="E74" s="3"/>
      <c r="F74" s="3"/>
    </row>
    <row r="75" ht="22.5" customHeight="1">
      <c r="A75" s="3" t="s">
        <v>225</v>
      </c>
      <c r="B75" s="3"/>
      <c r="C75" s="3"/>
      <c r="D75" s="3"/>
      <c r="E75" s="3"/>
      <c r="F75" s="3"/>
    </row>
    <row r="76" ht="22.5" customHeight="1">
      <c r="A76" s="3" t="s">
        <v>228</v>
      </c>
      <c r="B76" s="3"/>
      <c r="C76" s="3"/>
      <c r="D76" s="3"/>
      <c r="E76" s="3"/>
      <c r="F76" s="3"/>
    </row>
    <row r="77" ht="22.5" customHeight="1">
      <c r="A77" s="3" t="s">
        <v>231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2.5" customHeight="1">
      <c r="A79" s="3" t="s">
        <v>235</v>
      </c>
      <c r="B79" s="3"/>
      <c r="C79" s="3"/>
      <c r="D79" s="3"/>
      <c r="E79" s="3"/>
      <c r="F79" s="3"/>
    </row>
    <row r="80" ht="22.5" customHeight="1">
      <c r="A80" s="3" t="s">
        <v>238</v>
      </c>
      <c r="B80" s="3"/>
      <c r="C80" s="3"/>
      <c r="D80" s="3"/>
      <c r="E80" s="3"/>
      <c r="F80" s="3"/>
    </row>
    <row r="81" ht="22.5" customHeight="1">
      <c r="A81" s="3" t="s">
        <v>242</v>
      </c>
      <c r="B81" s="3"/>
      <c r="C81" s="3"/>
      <c r="D81" s="3"/>
      <c r="E81" s="3"/>
      <c r="F81" s="3"/>
    </row>
    <row r="82" ht="21.75" customHeight="1">
      <c r="A82" s="2"/>
      <c r="B82" s="2"/>
      <c r="C82" s="2"/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7.0" customHeight="1">
      <c r="A84" s="4" t="s">
        <v>247</v>
      </c>
      <c r="B84" s="4"/>
      <c r="C84" s="4"/>
      <c r="D84" s="4"/>
      <c r="E84" s="4"/>
      <c r="F84" s="4"/>
    </row>
    <row r="85" ht="21.75" customHeight="1">
      <c r="A85" s="2"/>
      <c r="B85" s="2"/>
      <c r="C85" s="2"/>
      <c r="D85" s="2"/>
      <c r="E85" s="2"/>
      <c r="F85" s="2"/>
    </row>
    <row r="86" ht="22.5" customHeight="1">
      <c r="A86" s="3" t="s">
        <v>251</v>
      </c>
      <c r="B86" s="3"/>
      <c r="C86" s="3"/>
      <c r="D86" s="3"/>
      <c r="E86" s="3"/>
      <c r="F86" s="3"/>
    </row>
    <row r="87" ht="22.5" customHeight="1">
      <c r="A87" s="3" t="s">
        <v>254</v>
      </c>
      <c r="B87" s="3"/>
      <c r="C87" s="3"/>
      <c r="D87" s="3"/>
      <c r="E87" s="3"/>
      <c r="F87" s="3"/>
    </row>
    <row r="88" ht="21.75" customHeight="1">
      <c r="A88" s="2"/>
      <c r="B88" s="2"/>
      <c r="C88" s="2"/>
      <c r="D88" s="2"/>
      <c r="E88" s="2"/>
      <c r="F88" s="2"/>
    </row>
    <row r="89" ht="22.5" customHeight="1">
      <c r="A89" s="3" t="s">
        <v>257</v>
      </c>
      <c r="B89" s="3"/>
      <c r="C89" s="3"/>
      <c r="D89" s="3"/>
      <c r="E89" s="3"/>
      <c r="F89" s="3"/>
    </row>
    <row r="90" ht="22.5" customHeight="1">
      <c r="A90" s="3" t="s">
        <v>260</v>
      </c>
      <c r="B90" s="3"/>
      <c r="C90" s="3"/>
      <c r="D90" s="3"/>
      <c r="E90" s="3"/>
      <c r="F90" s="3"/>
    </row>
    <row r="91" ht="22.5" customHeight="1">
      <c r="A91" s="3" t="s">
        <v>267</v>
      </c>
      <c r="B91" s="3"/>
      <c r="C91" s="3"/>
      <c r="D91" s="3"/>
      <c r="E91" s="3"/>
      <c r="F91" s="3"/>
    </row>
    <row r="92" ht="21.75" customHeight="1">
      <c r="A92" s="2"/>
      <c r="B92" s="2"/>
      <c r="C92" s="2"/>
      <c r="D92" s="2"/>
      <c r="E92" s="2"/>
      <c r="F92" s="2"/>
    </row>
    <row r="93" ht="22.5" customHeight="1">
      <c r="A93" s="3" t="s">
        <v>270</v>
      </c>
      <c r="B93" s="3"/>
      <c r="C93" s="3"/>
      <c r="D93" s="3"/>
      <c r="E93" s="3"/>
      <c r="F93" s="3"/>
    </row>
    <row r="94" ht="22.5" customHeight="1">
      <c r="A94" s="3" t="s">
        <v>272</v>
      </c>
      <c r="B94" s="3"/>
      <c r="C94" s="3"/>
      <c r="D94" s="3"/>
      <c r="E94" s="3"/>
      <c r="F94" s="3"/>
    </row>
    <row r="95" ht="22.5" customHeight="1">
      <c r="A95" s="3" t="s">
        <v>275</v>
      </c>
      <c r="B95" s="3"/>
      <c r="C95" s="3"/>
      <c r="D95" s="3"/>
      <c r="E95" s="3"/>
      <c r="F95" s="3"/>
    </row>
    <row r="96" ht="21.75" customHeight="1">
      <c r="A96" s="2"/>
      <c r="B96" s="2"/>
      <c r="C96" s="2"/>
      <c r="D96" s="2"/>
      <c r="E96" s="2"/>
      <c r="F96" s="2"/>
    </row>
    <row r="97" ht="22.5" customHeight="1">
      <c r="A97" s="3" t="s">
        <v>277</v>
      </c>
      <c r="B97" s="3"/>
      <c r="C97" s="3"/>
      <c r="D97" s="3"/>
      <c r="E97" s="3"/>
      <c r="F97" s="3"/>
    </row>
    <row r="98" ht="22.5" customHeight="1">
      <c r="A98" s="3" t="s">
        <v>279</v>
      </c>
      <c r="B98" s="3"/>
      <c r="C98" s="3"/>
      <c r="D98" s="3"/>
      <c r="E98" s="3"/>
      <c r="F98" s="3"/>
    </row>
    <row r="99" ht="22.5" customHeight="1">
      <c r="A99" s="3" t="s">
        <v>281</v>
      </c>
      <c r="B99" s="3"/>
      <c r="C99" s="3"/>
      <c r="D99" s="3"/>
      <c r="E99" s="3"/>
      <c r="F99" s="3"/>
    </row>
    <row r="100" ht="21.75" customHeight="1">
      <c r="A100" s="2"/>
      <c r="B100" s="2"/>
      <c r="C100" s="2"/>
      <c r="D100" s="2"/>
      <c r="E100" s="2"/>
      <c r="F100" s="2"/>
    </row>
    <row r="101" ht="22.5" customHeight="1">
      <c r="A101" s="3" t="s">
        <v>282</v>
      </c>
      <c r="B101" s="3"/>
      <c r="C101" s="3"/>
      <c r="D101" s="3"/>
      <c r="E101" s="3"/>
      <c r="F101" s="3"/>
    </row>
    <row r="102" ht="22.5" customHeight="1">
      <c r="A102" s="3" t="s">
        <v>283</v>
      </c>
      <c r="B102" s="3"/>
      <c r="C102" s="3"/>
      <c r="D102" s="3"/>
      <c r="E102" s="3"/>
      <c r="F102" s="3"/>
    </row>
    <row r="103" ht="22.5" customHeight="1">
      <c r="A103" s="3" t="s">
        <v>284</v>
      </c>
      <c r="B103" s="3"/>
      <c r="C103" s="3"/>
      <c r="D103" s="3"/>
      <c r="E103" s="3"/>
      <c r="F103" s="3"/>
    </row>
    <row r="104" ht="21.75" customHeight="1">
      <c r="A104" s="2"/>
      <c r="B104" s="2"/>
      <c r="C104" s="2"/>
      <c r="D104" s="2"/>
      <c r="E104" s="2"/>
      <c r="F104" s="2"/>
    </row>
    <row r="105" ht="22.5" customHeight="1">
      <c r="A105" s="3" t="s">
        <v>285</v>
      </c>
      <c r="B105" s="3"/>
      <c r="C105" s="3"/>
      <c r="D105" s="3"/>
      <c r="E105" s="3"/>
      <c r="F105" s="3"/>
    </row>
    <row r="106" ht="22.5" customHeight="1">
      <c r="A106" s="3" t="s">
        <v>286</v>
      </c>
      <c r="B106" s="3"/>
      <c r="C106" s="3"/>
      <c r="D106" s="3"/>
      <c r="E106" s="3"/>
      <c r="F106" s="3"/>
    </row>
    <row r="107" ht="22.5" customHeight="1">
      <c r="A107" s="3" t="s">
        <v>287</v>
      </c>
      <c r="B107" s="3"/>
      <c r="C107" s="3"/>
      <c r="D107" s="3"/>
      <c r="E107" s="3"/>
      <c r="F107" s="3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288</v>
      </c>
      <c r="B110" s="4"/>
      <c r="C110" s="4"/>
      <c r="D110" s="4"/>
      <c r="E110" s="4"/>
      <c r="F110" s="4"/>
    </row>
    <row r="111" ht="21.75" customHeight="1">
      <c r="A111" s="2"/>
      <c r="B111" s="2"/>
      <c r="C111" s="2"/>
      <c r="D111" s="2"/>
      <c r="E111" s="2"/>
      <c r="F111" s="2"/>
    </row>
    <row r="112" ht="22.5" customHeight="1">
      <c r="A112" s="3" t="s">
        <v>289</v>
      </c>
      <c r="B112" s="3"/>
      <c r="C112" s="3"/>
      <c r="D112" s="3"/>
      <c r="E112" s="3"/>
      <c r="F112" s="3"/>
    </row>
    <row r="113" ht="22.5" customHeight="1">
      <c r="A113" s="3" t="s">
        <v>290</v>
      </c>
      <c r="B113" s="3"/>
      <c r="C113" s="3"/>
      <c r="D113" s="3"/>
      <c r="E113" s="3"/>
      <c r="F113" s="3"/>
    </row>
    <row r="114" ht="22.5" customHeight="1">
      <c r="A114" s="3" t="s">
        <v>291</v>
      </c>
      <c r="B114" s="3"/>
      <c r="C114" s="3"/>
      <c r="D114" s="3"/>
      <c r="E114" s="3"/>
      <c r="F114" s="3"/>
    </row>
    <row r="115" ht="21.75" customHeight="1">
      <c r="A115" s="2"/>
      <c r="B115" s="2"/>
      <c r="C115" s="2"/>
      <c r="D115" s="2"/>
      <c r="E115" s="2"/>
      <c r="F115" s="2"/>
    </row>
    <row r="116" ht="22.5" customHeight="1">
      <c r="A116" s="3" t="s">
        <v>292</v>
      </c>
      <c r="B116" s="3"/>
      <c r="C116" s="3"/>
      <c r="D116" s="3"/>
      <c r="E116" s="3"/>
      <c r="F116" s="3"/>
    </row>
    <row r="117" ht="22.5" customHeight="1">
      <c r="A117" s="3" t="s">
        <v>293</v>
      </c>
      <c r="B117" s="3"/>
      <c r="C117" s="3"/>
      <c r="D117" s="3"/>
      <c r="E117" s="3"/>
      <c r="F117" s="3"/>
    </row>
    <row r="118" ht="22.5" customHeight="1">
      <c r="A118" s="3" t="s">
        <v>294</v>
      </c>
      <c r="B118" s="3"/>
      <c r="C118" s="3"/>
      <c r="D118" s="3"/>
      <c r="E118" s="3"/>
      <c r="F118" s="3"/>
    </row>
    <row r="119" ht="22.5" customHeight="1">
      <c r="A119" s="3" t="s">
        <v>295</v>
      </c>
      <c r="B119" s="3"/>
      <c r="C119" s="3"/>
      <c r="D119" s="3"/>
      <c r="E119" s="3"/>
      <c r="F119" s="3"/>
    </row>
    <row r="120" ht="21.75" customHeight="1">
      <c r="A120" s="2"/>
      <c r="B120" s="2"/>
      <c r="C120" s="2"/>
      <c r="D120" s="2"/>
      <c r="E120" s="2"/>
      <c r="F120" s="2"/>
    </row>
    <row r="121" ht="22.5" customHeight="1">
      <c r="A121" s="3" t="s">
        <v>296</v>
      </c>
      <c r="B121" s="3"/>
      <c r="C121" s="3"/>
      <c r="D121" s="3"/>
      <c r="E121" s="3"/>
      <c r="F121" s="3"/>
    </row>
    <row r="122" ht="22.5" customHeight="1">
      <c r="A122" s="3" t="s">
        <v>297</v>
      </c>
      <c r="B122" s="3"/>
      <c r="C122" s="3"/>
      <c r="D122" s="3"/>
      <c r="E122" s="3"/>
      <c r="F122" s="3"/>
    </row>
    <row r="123" ht="22.5" customHeight="1">
      <c r="A123" s="3" t="s">
        <v>298</v>
      </c>
      <c r="B123" s="3"/>
      <c r="C123" s="3"/>
      <c r="D123" s="3"/>
      <c r="E123" s="3"/>
      <c r="F123" s="3"/>
    </row>
    <row r="124" ht="21.75" customHeight="1">
      <c r="A124" s="2"/>
      <c r="B124" s="2"/>
      <c r="C124" s="2"/>
      <c r="D124" s="2"/>
      <c r="E124" s="2"/>
      <c r="F124" s="2"/>
    </row>
    <row r="125" ht="22.5" customHeight="1">
      <c r="A125" s="3" t="s">
        <v>299</v>
      </c>
      <c r="B125" s="3"/>
      <c r="C125" s="3"/>
      <c r="D125" s="3"/>
      <c r="E125" s="3"/>
      <c r="F125" s="3"/>
    </row>
    <row r="126" ht="22.5" customHeight="1">
      <c r="A126" s="3" t="s">
        <v>300</v>
      </c>
      <c r="B126" s="3"/>
      <c r="C126" s="3"/>
      <c r="D126" s="3"/>
      <c r="E126" s="3"/>
      <c r="F126" s="3"/>
    </row>
    <row r="127" ht="22.5" customHeight="1">
      <c r="A127" s="3" t="s">
        <v>301</v>
      </c>
      <c r="B127" s="3"/>
      <c r="C127" s="3"/>
      <c r="D127" s="3"/>
      <c r="E127" s="3"/>
      <c r="F127" s="3"/>
    </row>
    <row r="128" ht="21.75" customHeight="1">
      <c r="A128" s="2"/>
      <c r="B128" s="2"/>
      <c r="C128" s="2"/>
      <c r="D128" s="2"/>
      <c r="E128" s="2"/>
      <c r="F128" s="2"/>
    </row>
    <row r="129" ht="22.5" customHeight="1">
      <c r="A129" s="3" t="s">
        <v>302</v>
      </c>
      <c r="B129" s="3"/>
      <c r="C129" s="3"/>
      <c r="D129" s="3"/>
      <c r="E129" s="3"/>
      <c r="F129" s="3"/>
    </row>
    <row r="130" ht="22.5" customHeight="1">
      <c r="A130" s="3" t="s">
        <v>303</v>
      </c>
      <c r="B130" s="3"/>
      <c r="C130" s="3"/>
      <c r="D130" s="3"/>
      <c r="E130" s="3"/>
      <c r="F130" s="3"/>
    </row>
    <row r="131" ht="21.75" customHeight="1">
      <c r="A131" s="2"/>
      <c r="B131" s="2"/>
      <c r="C131" s="2"/>
      <c r="D131" s="2"/>
      <c r="E131" s="2"/>
      <c r="F131" s="2"/>
    </row>
    <row r="132" ht="21.75" customHeight="1">
      <c r="A132" s="2"/>
      <c r="B132" s="2"/>
      <c r="C132" s="2"/>
      <c r="D132" s="2"/>
      <c r="E132" s="2"/>
      <c r="F132" s="2"/>
    </row>
    <row r="133" ht="27.0" customHeight="1">
      <c r="A133" s="4" t="s">
        <v>304</v>
      </c>
      <c r="B133" s="4"/>
      <c r="C133" s="4"/>
      <c r="D133" s="4"/>
      <c r="E133" s="4"/>
      <c r="F133" s="4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305</v>
      </c>
      <c r="B135" s="3"/>
      <c r="C135" s="3"/>
      <c r="D135" s="3"/>
      <c r="E135" s="3"/>
      <c r="F135" s="3"/>
    </row>
    <row r="136" ht="22.5" customHeight="1">
      <c r="A136" s="3" t="s">
        <v>306</v>
      </c>
      <c r="B136" s="3"/>
      <c r="C136" s="3"/>
      <c r="D136" s="3"/>
      <c r="E136" s="3"/>
      <c r="F136" s="3"/>
    </row>
    <row r="137" ht="21.75" customHeight="1">
      <c r="A137" s="2"/>
      <c r="B137" s="2"/>
      <c r="C137" s="2"/>
      <c r="D137" s="2"/>
      <c r="E137" s="2"/>
      <c r="F137" s="2"/>
    </row>
    <row r="138" ht="22.5" customHeight="1">
      <c r="A138" s="3" t="s">
        <v>307</v>
      </c>
      <c r="B138" s="3"/>
      <c r="C138" s="3"/>
      <c r="D138" s="3"/>
      <c r="E138" s="3"/>
      <c r="F138" s="3"/>
    </row>
    <row r="139" ht="22.5" customHeight="1">
      <c r="A139" s="3" t="s">
        <v>308</v>
      </c>
      <c r="B139" s="3"/>
      <c r="C139" s="3"/>
      <c r="D139" s="3"/>
      <c r="E139" s="3"/>
      <c r="F139" s="3"/>
    </row>
    <row r="140" ht="22.5" customHeight="1">
      <c r="A140" s="3" t="s">
        <v>309</v>
      </c>
      <c r="B140" s="3"/>
      <c r="C140" s="3"/>
      <c r="D140" s="3"/>
      <c r="E140" s="3"/>
      <c r="F140" s="3"/>
    </row>
    <row r="141" ht="22.5" customHeight="1">
      <c r="A141" s="3" t="s">
        <v>310</v>
      </c>
      <c r="B141" s="3"/>
      <c r="C141" s="3"/>
      <c r="D141" s="3"/>
      <c r="E141" s="3"/>
      <c r="F141" s="3"/>
    </row>
    <row r="142" ht="21.75" customHeight="1">
      <c r="A142" s="2"/>
      <c r="B142" s="2"/>
      <c r="C142" s="2"/>
      <c r="D142" s="2"/>
      <c r="E142" s="2"/>
      <c r="F142" s="2"/>
    </row>
    <row r="143" ht="22.5" customHeight="1">
      <c r="A143" s="3" t="s">
        <v>311</v>
      </c>
      <c r="B143" s="3"/>
      <c r="C143" s="3"/>
      <c r="D143" s="3"/>
      <c r="E143" s="3"/>
      <c r="F143" s="3"/>
    </row>
    <row r="144" ht="22.5" customHeight="1">
      <c r="A144" s="3" t="s">
        <v>312</v>
      </c>
      <c r="B144" s="3"/>
      <c r="C144" s="3"/>
      <c r="D144" s="3"/>
      <c r="E144" s="3"/>
      <c r="F144" s="3"/>
    </row>
    <row r="145" ht="22.5" customHeight="1">
      <c r="A145" s="3" t="s">
        <v>313</v>
      </c>
      <c r="B145" s="3"/>
      <c r="C145" s="3"/>
      <c r="D145" s="3"/>
      <c r="E145" s="3"/>
      <c r="F145" s="3"/>
    </row>
    <row r="146" ht="22.5" customHeight="1">
      <c r="A146" s="3" t="s">
        <v>314</v>
      </c>
      <c r="B146" s="3"/>
      <c r="C146" s="3"/>
      <c r="D146" s="3"/>
      <c r="E146" s="3"/>
      <c r="F146" s="3"/>
    </row>
    <row r="147" ht="21.75" customHeight="1">
      <c r="A147" s="2"/>
      <c r="B147" s="2"/>
      <c r="C147" s="2"/>
      <c r="D147" s="2"/>
      <c r="E147" s="2"/>
      <c r="F147" s="2"/>
    </row>
    <row r="148" ht="22.5" customHeight="1">
      <c r="A148" s="3" t="s">
        <v>315</v>
      </c>
      <c r="B148" s="3"/>
      <c r="C148" s="3"/>
      <c r="D148" s="3"/>
      <c r="E148" s="3"/>
      <c r="F148" s="3"/>
    </row>
    <row r="149" ht="22.5" customHeight="1">
      <c r="A149" s="3" t="s">
        <v>316</v>
      </c>
      <c r="B149" s="3"/>
      <c r="C149" s="3"/>
      <c r="D149" s="3"/>
      <c r="E149" s="3"/>
      <c r="F149" s="3"/>
    </row>
    <row r="150" ht="22.5" customHeight="1">
      <c r="A150" s="3" t="s">
        <v>317</v>
      </c>
      <c r="B150" s="3"/>
      <c r="C150" s="3"/>
      <c r="D150" s="3"/>
      <c r="E150" s="3"/>
      <c r="F150" s="3"/>
    </row>
    <row r="151" ht="22.5" customHeight="1">
      <c r="A151" s="3" t="s">
        <v>318</v>
      </c>
      <c r="B151" s="3"/>
      <c r="C151" s="3"/>
      <c r="D151" s="3"/>
      <c r="E151" s="3"/>
      <c r="F151" s="3"/>
    </row>
    <row r="152" ht="22.5" customHeight="1">
      <c r="A152" s="3" t="s">
        <v>320</v>
      </c>
      <c r="B152" s="3"/>
      <c r="C152" s="3"/>
      <c r="D152" s="3"/>
      <c r="E152" s="3"/>
      <c r="F152" s="3"/>
    </row>
    <row r="153" ht="21.75" customHeight="1">
      <c r="A153" s="2"/>
      <c r="B153" s="2"/>
      <c r="C153" s="2"/>
      <c r="D153" s="2"/>
      <c r="E153" s="2"/>
      <c r="F153" s="2"/>
    </row>
    <row r="154" ht="22.5" customHeight="1">
      <c r="A154" s="3" t="s">
        <v>321</v>
      </c>
      <c r="B154" s="3"/>
      <c r="C154" s="3"/>
      <c r="D154" s="3"/>
      <c r="E154" s="3"/>
      <c r="F154" s="3"/>
    </row>
    <row r="155" ht="22.5" customHeight="1">
      <c r="A155" s="3" t="s">
        <v>322</v>
      </c>
      <c r="B155" s="3"/>
      <c r="C155" s="3"/>
      <c r="D155" s="3"/>
      <c r="E155" s="3"/>
      <c r="F155" s="3"/>
    </row>
    <row r="156" ht="22.5" customHeight="1">
      <c r="A156" s="3" t="s">
        <v>323</v>
      </c>
      <c r="B156" s="3"/>
      <c r="C156" s="3"/>
      <c r="D156" s="3"/>
      <c r="E156" s="3"/>
      <c r="F156" s="3"/>
    </row>
    <row r="157" ht="21.75" customHeight="1">
      <c r="A157" s="2"/>
      <c r="B157" s="2"/>
      <c r="C157" s="2"/>
      <c r="D157" s="2"/>
      <c r="E157" s="2"/>
      <c r="F157" s="2"/>
    </row>
    <row r="158" ht="22.5" customHeight="1">
      <c r="A158" s="3" t="s">
        <v>324</v>
      </c>
      <c r="B158" s="3"/>
      <c r="C158" s="3"/>
      <c r="D158" s="3"/>
      <c r="E158" s="3"/>
      <c r="F158" s="3"/>
    </row>
    <row r="159" ht="22.5" customHeight="1">
      <c r="A159" s="3" t="s">
        <v>325</v>
      </c>
      <c r="B159" s="3"/>
      <c r="C159" s="3"/>
      <c r="D159" s="3"/>
      <c r="E159" s="3"/>
      <c r="F159" s="3"/>
    </row>
    <row r="160" ht="22.5" customHeight="1">
      <c r="A160" s="3" t="s">
        <v>326</v>
      </c>
      <c r="B160" s="3"/>
      <c r="C160" s="3"/>
      <c r="D160" s="3"/>
      <c r="E160" s="3"/>
      <c r="F160" s="3"/>
    </row>
    <row r="161" ht="22.5" customHeight="1">
      <c r="A161" s="3" t="s">
        <v>327</v>
      </c>
      <c r="B161" s="3"/>
      <c r="C161" s="3"/>
      <c r="D161" s="3"/>
      <c r="E161" s="3"/>
      <c r="F161" s="3"/>
    </row>
    <row r="162" ht="21.75" customHeight="1">
      <c r="A162" s="2"/>
      <c r="B162" s="2"/>
      <c r="C162" s="2"/>
      <c r="D162" s="2"/>
      <c r="E162" s="2"/>
      <c r="F162" s="2"/>
    </row>
    <row r="163" ht="22.5" customHeight="1">
      <c r="A163" s="3" t="s">
        <v>330</v>
      </c>
      <c r="B163" s="3"/>
      <c r="C163" s="3"/>
      <c r="D163" s="3"/>
      <c r="E163" s="3"/>
      <c r="F163" s="3"/>
    </row>
    <row r="164" ht="22.5" customHeight="1">
      <c r="A164" s="3" t="s">
        <v>333</v>
      </c>
      <c r="B164" s="3"/>
      <c r="C164" s="3"/>
      <c r="D164" s="3"/>
      <c r="E164" s="3"/>
      <c r="F164" s="3"/>
    </row>
    <row r="165" ht="22.5" customHeight="1">
      <c r="A165" s="3" t="s">
        <v>334</v>
      </c>
      <c r="B165" s="3"/>
      <c r="C165" s="3"/>
      <c r="D165" s="3"/>
      <c r="E165" s="3"/>
      <c r="F165" s="3"/>
    </row>
    <row r="166" ht="21.75" customHeight="1">
      <c r="A166" s="2"/>
      <c r="B166" s="2"/>
      <c r="C166" s="2"/>
      <c r="D166" s="2"/>
      <c r="E166" s="2"/>
      <c r="F166" s="2"/>
    </row>
    <row r="167" ht="21.75" customHeight="1">
      <c r="A167" s="2"/>
      <c r="B167" s="2"/>
      <c r="C167" s="2"/>
      <c r="D167" s="2"/>
      <c r="E167" s="2"/>
      <c r="F167" s="2"/>
    </row>
    <row r="168" ht="27.0" customHeight="1">
      <c r="A168" s="4" t="s">
        <v>338</v>
      </c>
      <c r="B168" s="4"/>
      <c r="C168" s="4"/>
      <c r="D168" s="4"/>
      <c r="E168" s="4"/>
      <c r="F168" s="4"/>
    </row>
    <row r="169" ht="21.75" customHeight="1">
      <c r="A169" s="2"/>
      <c r="B169" s="2"/>
      <c r="C169" s="2"/>
      <c r="D169" s="2"/>
      <c r="E169" s="2"/>
      <c r="F169" s="2"/>
    </row>
    <row r="170" ht="22.5" customHeight="1">
      <c r="A170" s="3" t="s">
        <v>341</v>
      </c>
      <c r="B170" s="3"/>
      <c r="C170" s="3"/>
      <c r="D170" s="3"/>
      <c r="E170" s="3"/>
      <c r="F170" s="3"/>
    </row>
    <row r="171" ht="22.5" customHeight="1">
      <c r="A171" s="3" t="s">
        <v>342</v>
      </c>
      <c r="B171" s="3"/>
      <c r="C171" s="3"/>
      <c r="D171" s="3"/>
      <c r="E171" s="3"/>
      <c r="F171" s="3"/>
    </row>
    <row r="172" ht="21.75" customHeight="1">
      <c r="A172" s="2"/>
      <c r="B172" s="2"/>
      <c r="C172" s="2"/>
      <c r="D172" s="2"/>
      <c r="E172" s="2"/>
      <c r="F172" s="2"/>
    </row>
    <row r="173" ht="27.0" customHeight="1">
      <c r="A173" s="4" t="s">
        <v>192</v>
      </c>
      <c r="B173" s="4"/>
      <c r="C173" s="4"/>
      <c r="D173" s="4"/>
      <c r="E173" s="4"/>
      <c r="F173" s="4"/>
    </row>
    <row r="174" ht="48.75" customHeight="1">
      <c r="A174" s="5" t="s">
        <v>197</v>
      </c>
      <c r="B174" s="5" t="s">
        <v>352</v>
      </c>
      <c r="C174" s="5" t="s">
        <v>68</v>
      </c>
      <c r="D174" s="2"/>
      <c r="E174" s="2"/>
      <c r="F174" s="2"/>
    </row>
    <row r="175" ht="42.0" customHeight="1">
      <c r="A175" s="15" t="s">
        <v>355</v>
      </c>
      <c r="B175" s="15" t="s">
        <v>356</v>
      </c>
      <c r="C175" s="15" t="s">
        <v>85</v>
      </c>
      <c r="D175" s="2"/>
      <c r="E175" s="2"/>
      <c r="F175" s="2"/>
    </row>
    <row r="176" ht="57.0" customHeight="1">
      <c r="A176" s="15" t="s">
        <v>358</v>
      </c>
      <c r="B176" s="15" t="s">
        <v>362</v>
      </c>
      <c r="C176" s="15" t="s">
        <v>94</v>
      </c>
      <c r="D176" s="2"/>
      <c r="E176" s="2"/>
      <c r="F176" s="2"/>
    </row>
    <row r="177" ht="42.0" customHeight="1">
      <c r="A177" s="15" t="s">
        <v>364</v>
      </c>
      <c r="B177" s="15" t="s">
        <v>365</v>
      </c>
      <c r="C177" s="15" t="s">
        <v>85</v>
      </c>
      <c r="D177" s="2"/>
      <c r="E177" s="2"/>
      <c r="F177" s="2"/>
    </row>
    <row r="178" ht="42.0" customHeight="1">
      <c r="A178" s="15" t="s">
        <v>366</v>
      </c>
      <c r="B178" s="15" t="s">
        <v>367</v>
      </c>
      <c r="C178" s="15" t="s">
        <v>106</v>
      </c>
      <c r="D178" s="2"/>
      <c r="E178" s="2"/>
      <c r="F178" s="2"/>
    </row>
    <row r="179" ht="42.0" customHeight="1">
      <c r="A179" s="15" t="s">
        <v>369</v>
      </c>
      <c r="B179" s="15" t="s">
        <v>370</v>
      </c>
      <c r="C179" s="15" t="s">
        <v>371</v>
      </c>
      <c r="D179" s="2"/>
      <c r="E179" s="2"/>
      <c r="F179" s="2"/>
    </row>
    <row r="180" ht="57.0" customHeight="1">
      <c r="A180" s="15" t="s">
        <v>373</v>
      </c>
      <c r="B180" s="15" t="s">
        <v>374</v>
      </c>
      <c r="C180" s="15" t="s">
        <v>85</v>
      </c>
      <c r="D180" s="2"/>
      <c r="E180" s="2"/>
      <c r="F180" s="2"/>
    </row>
    <row r="181" ht="21.75" customHeight="1">
      <c r="A181" s="2"/>
      <c r="B181" s="2"/>
      <c r="C181" s="2"/>
      <c r="D181" s="2"/>
      <c r="E181" s="2"/>
      <c r="F181" s="2"/>
    </row>
    <row r="182" ht="21.75" customHeight="1">
      <c r="A182" s="2"/>
      <c r="B182" s="2"/>
      <c r="C182" s="2"/>
      <c r="D182" s="2"/>
      <c r="E182" s="2"/>
      <c r="F182" s="2"/>
    </row>
    <row r="183" ht="21.75" customHeight="1">
      <c r="A183" s="2"/>
      <c r="B183" s="2"/>
      <c r="C183" s="2"/>
      <c r="D183" s="2"/>
      <c r="E183" s="2"/>
      <c r="F183" s="2"/>
    </row>
    <row r="184" ht="22.5" customHeight="1">
      <c r="A184" s="3" t="s">
        <v>377</v>
      </c>
      <c r="B184" s="3"/>
      <c r="C184" s="3"/>
      <c r="D184" s="3"/>
      <c r="E184" s="3"/>
      <c r="F184" s="3"/>
    </row>
    <row r="185" ht="22.5" customHeight="1">
      <c r="A185" s="3" t="s">
        <v>380</v>
      </c>
      <c r="B185" s="3"/>
      <c r="C185" s="3"/>
      <c r="D185" s="3"/>
      <c r="E185" s="3"/>
      <c r="F185" s="3"/>
    </row>
    <row r="186" ht="22.5" customHeight="1">
      <c r="A186" s="3" t="s">
        <v>382</v>
      </c>
      <c r="B186" s="3"/>
      <c r="C186" s="3"/>
      <c r="D186" s="3"/>
      <c r="E186" s="3"/>
      <c r="F186" s="3"/>
    </row>
    <row r="187" ht="21.75" customHeight="1">
      <c r="A187" s="2"/>
      <c r="B187" s="2"/>
      <c r="C187" s="2"/>
      <c r="D187" s="2"/>
      <c r="E187" s="2"/>
      <c r="F187" s="2"/>
    </row>
    <row r="188" ht="21.75" customHeight="1">
      <c r="A188" s="2"/>
      <c r="B188" s="2"/>
      <c r="C188" s="2"/>
      <c r="D188" s="2"/>
      <c r="E188" s="2"/>
      <c r="F188" s="2"/>
    </row>
    <row r="189" ht="27.0" customHeight="1">
      <c r="A189" s="4" t="s">
        <v>385</v>
      </c>
      <c r="B189" s="4"/>
      <c r="C189" s="4"/>
      <c r="D189" s="4"/>
      <c r="E189" s="4"/>
      <c r="F189" s="4"/>
    </row>
    <row r="190" ht="21.75" customHeight="1">
      <c r="A190" s="2"/>
      <c r="B190" s="2"/>
      <c r="C190" s="2"/>
      <c r="D190" s="2"/>
      <c r="E190" s="2"/>
      <c r="F190" s="2"/>
    </row>
    <row r="191" ht="22.5" customHeight="1">
      <c r="A191" s="3" t="s">
        <v>388</v>
      </c>
      <c r="B191" s="3"/>
      <c r="C191" s="3"/>
      <c r="D191" s="3"/>
      <c r="E191" s="3"/>
      <c r="F191" s="3"/>
    </row>
    <row r="192" ht="22.5" customHeight="1">
      <c r="A192" s="3" t="s">
        <v>391</v>
      </c>
      <c r="B192" s="3"/>
      <c r="C192" s="3"/>
      <c r="D192" s="3"/>
      <c r="E192" s="3"/>
      <c r="F192" s="3"/>
    </row>
    <row r="193" ht="21.75" customHeight="1">
      <c r="A193" s="2"/>
      <c r="B193" s="2"/>
      <c r="C193" s="2"/>
      <c r="D193" s="2"/>
      <c r="E193" s="2"/>
      <c r="F193" s="2"/>
    </row>
    <row r="194" ht="22.5" customHeight="1">
      <c r="A194" s="3" t="s">
        <v>394</v>
      </c>
      <c r="B194" s="3"/>
      <c r="C194" s="3"/>
      <c r="D194" s="3"/>
      <c r="E194" s="3"/>
      <c r="F194" s="3"/>
    </row>
    <row r="195" ht="22.5" customHeight="1">
      <c r="A195" s="3" t="s">
        <v>396</v>
      </c>
      <c r="B195" s="3"/>
      <c r="C195" s="3"/>
      <c r="D195" s="3"/>
      <c r="E195" s="3"/>
      <c r="F195" s="3"/>
    </row>
    <row r="196" ht="22.5" customHeight="1">
      <c r="A196" s="3" t="s">
        <v>398</v>
      </c>
      <c r="B196" s="3"/>
      <c r="C196" s="3"/>
      <c r="D196" s="3"/>
      <c r="E196" s="3"/>
      <c r="F196" s="3"/>
    </row>
    <row r="197" ht="21.75" customHeight="1">
      <c r="A197" s="2"/>
      <c r="B197" s="2"/>
      <c r="C197" s="2"/>
      <c r="D197" s="2"/>
      <c r="E197" s="2"/>
      <c r="F197" s="2"/>
    </row>
    <row r="198" ht="22.5" customHeight="1">
      <c r="A198" s="3" t="s">
        <v>400</v>
      </c>
      <c r="B198" s="3"/>
      <c r="C198" s="3"/>
      <c r="D198" s="3"/>
      <c r="E198" s="3"/>
      <c r="F198" s="3"/>
    </row>
    <row r="199" ht="22.5" customHeight="1">
      <c r="A199" s="3" t="s">
        <v>403</v>
      </c>
      <c r="B199" s="3"/>
      <c r="C199" s="3"/>
      <c r="D199" s="3"/>
      <c r="E199" s="3"/>
      <c r="F199" s="3"/>
    </row>
    <row r="200" ht="22.5" customHeight="1">
      <c r="A200" s="3" t="s">
        <v>406</v>
      </c>
      <c r="B200" s="3"/>
      <c r="C200" s="3"/>
      <c r="D200" s="3"/>
      <c r="E200" s="3"/>
      <c r="F200" s="3"/>
    </row>
    <row r="201" ht="21.75" customHeight="1">
      <c r="A201" s="2"/>
      <c r="B201" s="2"/>
      <c r="C201" s="2"/>
      <c r="D201" s="2"/>
      <c r="E201" s="2"/>
      <c r="F201" s="2"/>
    </row>
    <row r="202" ht="21.75" customHeight="1">
      <c r="A202" s="2"/>
      <c r="B202" s="2"/>
      <c r="C202" s="2"/>
      <c r="D202" s="2"/>
      <c r="E202" s="2"/>
      <c r="F202" s="2"/>
    </row>
    <row r="203" ht="27.0" customHeight="1">
      <c r="A203" s="4" t="s">
        <v>407</v>
      </c>
      <c r="B203" s="4"/>
      <c r="C203" s="4"/>
      <c r="D203" s="4"/>
      <c r="E203" s="4"/>
      <c r="F203" s="4"/>
    </row>
    <row r="204" ht="21.75" customHeight="1">
      <c r="A204" s="2"/>
      <c r="B204" s="2"/>
      <c r="C204" s="2"/>
      <c r="D204" s="2"/>
      <c r="E204" s="2"/>
      <c r="F204" s="2"/>
    </row>
    <row r="205" ht="27.0" customHeight="1">
      <c r="A205" s="4" t="s">
        <v>192</v>
      </c>
      <c r="B205" s="4"/>
      <c r="C205" s="4"/>
      <c r="D205" s="4"/>
      <c r="E205" s="4"/>
      <c r="F205" s="4"/>
    </row>
    <row r="206" ht="48.75" customHeight="1">
      <c r="A206" s="5" t="s">
        <v>410</v>
      </c>
      <c r="B206" s="5" t="s">
        <v>411</v>
      </c>
      <c r="C206" s="2"/>
      <c r="D206" s="2"/>
      <c r="E206" s="2"/>
      <c r="F206" s="2"/>
    </row>
    <row r="207" ht="42.0" customHeight="1">
      <c r="A207" s="15" t="s">
        <v>413</v>
      </c>
      <c r="B207" s="15" t="s">
        <v>414</v>
      </c>
      <c r="C207" s="2"/>
      <c r="D207" s="2"/>
      <c r="E207" s="2"/>
      <c r="F207" s="2"/>
    </row>
    <row r="208" ht="57.0" customHeight="1">
      <c r="A208" s="15" t="s">
        <v>417</v>
      </c>
      <c r="B208" s="15" t="s">
        <v>418</v>
      </c>
      <c r="C208" s="2"/>
      <c r="D208" s="2"/>
      <c r="E208" s="2"/>
      <c r="F208" s="2"/>
    </row>
    <row r="209" ht="42.0" customHeight="1">
      <c r="A209" s="15" t="s">
        <v>419</v>
      </c>
      <c r="B209" s="15" t="s">
        <v>421</v>
      </c>
      <c r="C209" s="2"/>
      <c r="D209" s="2"/>
      <c r="E209" s="2"/>
      <c r="F209" s="2"/>
    </row>
    <row r="210" ht="42.0" customHeight="1">
      <c r="A210" s="15" t="s">
        <v>423</v>
      </c>
      <c r="B210" s="15" t="s">
        <v>424</v>
      </c>
      <c r="C210" s="2"/>
      <c r="D210" s="2"/>
      <c r="E210" s="2"/>
      <c r="F210" s="2"/>
    </row>
    <row r="211" ht="42.0" customHeight="1">
      <c r="A211" s="15" t="s">
        <v>426</v>
      </c>
      <c r="B211" s="15" t="s">
        <v>427</v>
      </c>
      <c r="C211" s="2"/>
      <c r="D211" s="2"/>
      <c r="E211" s="2"/>
      <c r="F211" s="2"/>
    </row>
    <row r="212" ht="42.0" customHeight="1">
      <c r="A212" s="15" t="s">
        <v>429</v>
      </c>
      <c r="B212" s="15" t="s">
        <v>430</v>
      </c>
      <c r="C212" s="2"/>
      <c r="D212" s="2"/>
      <c r="E212" s="2"/>
      <c r="F212" s="2"/>
    </row>
    <row r="213" ht="42.0" customHeight="1">
      <c r="A213" s="15" t="s">
        <v>432</v>
      </c>
      <c r="B213" s="15" t="s">
        <v>434</v>
      </c>
      <c r="C213" s="2"/>
      <c r="D213" s="2"/>
      <c r="E213" s="2"/>
      <c r="F213" s="2"/>
    </row>
    <row r="214" ht="42.0" customHeight="1">
      <c r="A214" s="15" t="s">
        <v>435</v>
      </c>
      <c r="B214" s="15" t="s">
        <v>436</v>
      </c>
      <c r="C214" s="2"/>
      <c r="D214" s="2"/>
      <c r="E214" s="2"/>
      <c r="F214" s="2"/>
    </row>
    <row r="215" ht="42.0" customHeight="1">
      <c r="A215" s="15" t="s">
        <v>437</v>
      </c>
      <c r="B215" s="15" t="s">
        <v>438</v>
      </c>
      <c r="C215" s="2"/>
      <c r="D215" s="2"/>
      <c r="E215" s="2"/>
      <c r="F215" s="2"/>
    </row>
    <row r="216" ht="42.0" customHeight="1">
      <c r="A216" s="15" t="s">
        <v>440</v>
      </c>
      <c r="B216" s="15" t="s">
        <v>441</v>
      </c>
      <c r="C216" s="2"/>
      <c r="D216" s="2"/>
      <c r="E216" s="2"/>
      <c r="F216" s="2"/>
    </row>
    <row r="217" ht="21.75" customHeight="1">
      <c r="A217" s="2"/>
      <c r="B217" s="2"/>
      <c r="C217" s="2"/>
      <c r="D217" s="2"/>
      <c r="E217" s="2"/>
      <c r="F217" s="2"/>
    </row>
    <row r="218" ht="21.75" customHeight="1">
      <c r="A218" s="2"/>
      <c r="B218" s="2"/>
      <c r="C218" s="2"/>
      <c r="D218" s="2"/>
      <c r="E218" s="2"/>
      <c r="F218" s="2"/>
    </row>
    <row r="219" ht="21.75" customHeight="1">
      <c r="A219" s="2"/>
      <c r="B219" s="2"/>
      <c r="C219" s="2"/>
      <c r="D219" s="2"/>
      <c r="E219" s="2"/>
      <c r="F219" s="2"/>
    </row>
    <row r="220" ht="22.5" customHeight="1">
      <c r="A220" s="3" t="s">
        <v>444</v>
      </c>
      <c r="B220" s="3"/>
      <c r="C220" s="3"/>
      <c r="D220" s="3"/>
      <c r="E220" s="3"/>
      <c r="F220" s="3"/>
    </row>
    <row r="221" ht="22.5" customHeight="1">
      <c r="A221" s="3" t="s">
        <v>447</v>
      </c>
      <c r="B221" s="3"/>
      <c r="C221" s="3"/>
      <c r="D221" s="3"/>
      <c r="E221" s="3"/>
      <c r="F221" s="3"/>
    </row>
    <row r="222" ht="21.75" customHeight="1">
      <c r="A222" s="2"/>
      <c r="B222" s="2"/>
      <c r="C222" s="2"/>
      <c r="D222" s="2"/>
      <c r="E222" s="2"/>
      <c r="F222" s="2"/>
    </row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3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</row>
    <row r="4" ht="26.25" customHeight="1">
      <c r="A4" s="11" t="s">
        <v>15</v>
      </c>
      <c r="F4" s="12"/>
    </row>
    <row r="5" ht="22.5" customHeight="1">
      <c r="A5" s="10" t="s">
        <v>30</v>
      </c>
      <c r="B5" s="10"/>
      <c r="C5" s="10"/>
      <c r="D5" s="10"/>
      <c r="E5" s="10"/>
      <c r="F5" s="10"/>
    </row>
    <row r="6" ht="22.5" customHeight="1">
      <c r="A6" s="3" t="s">
        <v>37</v>
      </c>
      <c r="B6" s="3"/>
      <c r="C6" s="3"/>
      <c r="D6" s="3"/>
      <c r="E6" s="3"/>
      <c r="F6" s="3"/>
    </row>
    <row r="7" ht="22.5" customHeight="1">
      <c r="A7" s="3" t="s">
        <v>44</v>
      </c>
      <c r="B7" s="3"/>
      <c r="C7" s="3"/>
      <c r="D7" s="3"/>
      <c r="E7" s="3"/>
      <c r="F7" s="3"/>
    </row>
    <row r="8" ht="22.5" customHeight="1">
      <c r="A8" s="3" t="s">
        <v>48</v>
      </c>
      <c r="B8" s="3"/>
      <c r="C8" s="3"/>
      <c r="D8" s="3"/>
      <c r="E8" s="3"/>
      <c r="F8" s="3"/>
    </row>
    <row r="9" ht="22.5" customHeight="1">
      <c r="A9" s="3" t="s">
        <v>51</v>
      </c>
      <c r="B9" s="3"/>
      <c r="C9" s="3"/>
      <c r="D9" s="3"/>
      <c r="E9" s="3"/>
      <c r="F9" s="3"/>
    </row>
    <row r="10" ht="22.5" customHeight="1">
      <c r="A10" s="3" t="s">
        <v>55</v>
      </c>
      <c r="B10" s="3"/>
      <c r="C10" s="3"/>
      <c r="D10" s="3"/>
      <c r="E10" s="3"/>
      <c r="F10" s="3"/>
    </row>
    <row r="11" ht="93.75" customHeight="1">
      <c r="A11" s="11" t="s">
        <v>58</v>
      </c>
      <c r="F11" s="12"/>
    </row>
    <row r="12" ht="22.5" customHeight="1">
      <c r="A12" s="3" t="s">
        <v>56</v>
      </c>
      <c r="B12" s="3"/>
      <c r="C12" s="3"/>
      <c r="D12" s="3"/>
      <c r="E12" s="3"/>
      <c r="F12" s="3"/>
    </row>
    <row r="13" ht="27.0" customHeight="1">
      <c r="A13" s="4" t="s">
        <v>63</v>
      </c>
      <c r="B13" s="4"/>
      <c r="C13" s="4"/>
      <c r="D13" s="4"/>
      <c r="E13" s="4"/>
      <c r="F13" s="4"/>
    </row>
    <row r="14" ht="48.75" customHeight="1">
      <c r="A14" s="5" t="s">
        <v>69</v>
      </c>
      <c r="B14" s="5" t="s">
        <v>72</v>
      </c>
      <c r="C14" s="5" t="s">
        <v>73</v>
      </c>
      <c r="D14" s="5" t="s">
        <v>74</v>
      </c>
      <c r="E14" s="2"/>
      <c r="F14" s="2"/>
    </row>
    <row r="15" ht="79.5" customHeight="1">
      <c r="A15" s="7" t="s">
        <v>77</v>
      </c>
      <c r="B15" s="16"/>
      <c r="C15" s="16"/>
      <c r="D15" s="16"/>
      <c r="E15" s="2"/>
      <c r="F15" s="2"/>
    </row>
    <row r="16" ht="79.5" customHeight="1">
      <c r="A16" s="7" t="s">
        <v>83</v>
      </c>
      <c r="B16" s="16"/>
      <c r="C16" s="16"/>
      <c r="D16" s="16"/>
      <c r="E16" s="2"/>
      <c r="F16" s="2"/>
    </row>
    <row r="17" ht="79.5" customHeight="1">
      <c r="A17" s="7" t="s">
        <v>84</v>
      </c>
      <c r="B17" s="16"/>
      <c r="C17" s="16"/>
      <c r="D17" s="16"/>
      <c r="E17" s="2"/>
      <c r="F17" s="2"/>
    </row>
    <row r="18" ht="79.5" customHeight="1">
      <c r="A18" s="7" t="s">
        <v>87</v>
      </c>
      <c r="B18" s="16"/>
      <c r="C18" s="16"/>
      <c r="D18" s="16"/>
      <c r="E18" s="2"/>
      <c r="F18" s="2"/>
    </row>
    <row r="19" ht="21.75" customHeight="1">
      <c r="A19" s="2"/>
      <c r="B19" s="2"/>
      <c r="C19" s="2"/>
      <c r="D19" s="2"/>
      <c r="E19" s="2"/>
      <c r="F19" s="2"/>
    </row>
    <row r="20" ht="21.75" customHeight="1">
      <c r="A20" s="2"/>
      <c r="B20" s="2"/>
      <c r="C20" s="2"/>
      <c r="D20" s="2"/>
      <c r="E20" s="2"/>
      <c r="F20" s="2"/>
    </row>
    <row r="21" ht="27.0" customHeight="1">
      <c r="A21" s="4" t="s">
        <v>92</v>
      </c>
      <c r="B21" s="4"/>
      <c r="C21" s="4"/>
      <c r="D21" s="4"/>
      <c r="E21" s="4"/>
      <c r="F21" s="4"/>
    </row>
    <row r="22" ht="48.75" customHeight="1">
      <c r="A22" s="5" t="s">
        <v>113</v>
      </c>
      <c r="B22" s="5" t="s">
        <v>115</v>
      </c>
      <c r="C22" s="2"/>
      <c r="D22" s="2"/>
      <c r="E22" s="2"/>
      <c r="F22" s="2"/>
    </row>
    <row r="23" ht="105.0" customHeight="1">
      <c r="A23" s="7" t="s">
        <v>122</v>
      </c>
      <c r="B23" s="16"/>
      <c r="C23" s="2"/>
      <c r="D23" s="2"/>
      <c r="E23" s="2"/>
      <c r="F23" s="2"/>
    </row>
    <row r="24" ht="105.0" customHeight="1">
      <c r="A24" s="7" t="s">
        <v>125</v>
      </c>
      <c r="B24" s="16"/>
      <c r="C24" s="2"/>
      <c r="D24" s="2"/>
      <c r="E24" s="2"/>
      <c r="F24" s="2"/>
    </row>
    <row r="25" ht="105.0" customHeight="1">
      <c r="A25" s="7" t="s">
        <v>127</v>
      </c>
      <c r="B25" s="16"/>
      <c r="C25" s="2"/>
      <c r="D25" s="2"/>
      <c r="E25" s="2"/>
      <c r="F25" s="2"/>
    </row>
    <row r="26" ht="105.0" customHeight="1">
      <c r="A26" s="7" t="s">
        <v>131</v>
      </c>
      <c r="B26" s="16"/>
      <c r="C26" s="2"/>
      <c r="D26" s="2"/>
      <c r="E26" s="2"/>
      <c r="F26" s="2"/>
    </row>
    <row r="27" ht="105.0" customHeight="1">
      <c r="A27" s="7" t="s">
        <v>135</v>
      </c>
      <c r="B27" s="16"/>
      <c r="C27" s="2"/>
      <c r="D27" s="2"/>
      <c r="E27" s="2"/>
      <c r="F27" s="2"/>
    </row>
    <row r="28" ht="105.0" customHeight="1">
      <c r="A28" s="7" t="s">
        <v>139</v>
      </c>
      <c r="B28" s="16"/>
      <c r="C28" s="2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60.0" customHeight="1">
      <c r="A30" s="11" t="s">
        <v>146</v>
      </c>
      <c r="F30" s="12"/>
    </row>
    <row r="31" ht="27.0" customHeight="1">
      <c r="A31" s="4" t="s">
        <v>151</v>
      </c>
      <c r="B31" s="4"/>
      <c r="C31" s="4"/>
      <c r="D31" s="4"/>
      <c r="E31" s="4"/>
      <c r="F31" s="4"/>
    </row>
    <row r="32" ht="48.75" customHeight="1">
      <c r="A32" s="5" t="s">
        <v>69</v>
      </c>
      <c r="B32" s="5" t="s">
        <v>156</v>
      </c>
      <c r="C32" s="5" t="s">
        <v>158</v>
      </c>
      <c r="D32" s="5" t="s">
        <v>159</v>
      </c>
      <c r="E32" s="5" t="s">
        <v>163</v>
      </c>
      <c r="F32" s="5" t="s">
        <v>164</v>
      </c>
    </row>
    <row r="33" ht="79.5" customHeight="1">
      <c r="A33" s="7" t="s">
        <v>77</v>
      </c>
      <c r="B33" s="16"/>
      <c r="C33" s="16"/>
      <c r="D33" s="16"/>
      <c r="E33" s="16"/>
      <c r="F33" s="16"/>
    </row>
    <row r="34" ht="79.5" customHeight="1">
      <c r="A34" s="7" t="s">
        <v>83</v>
      </c>
      <c r="B34" s="16"/>
      <c r="C34" s="16"/>
      <c r="D34" s="16"/>
      <c r="E34" s="16"/>
      <c r="F34" s="16"/>
    </row>
    <row r="35" ht="79.5" customHeight="1">
      <c r="A35" s="7" t="s">
        <v>84</v>
      </c>
      <c r="B35" s="16"/>
      <c r="C35" s="16"/>
      <c r="D35" s="16"/>
      <c r="E35" s="16"/>
      <c r="F35" s="16"/>
    </row>
    <row r="36" ht="79.5" customHeight="1">
      <c r="A36" s="7" t="s">
        <v>87</v>
      </c>
      <c r="B36" s="16"/>
      <c r="C36" s="16"/>
      <c r="D36" s="16"/>
      <c r="E36" s="16"/>
      <c r="F36" s="16"/>
    </row>
    <row r="37" ht="21.75" customHeight="1">
      <c r="A37" s="2"/>
      <c r="B37" s="2"/>
      <c r="C37" s="2"/>
      <c r="D37" s="2"/>
      <c r="E37" s="2"/>
      <c r="F37" s="2"/>
    </row>
    <row r="38" ht="21.75" customHeight="1">
      <c r="A38" s="2"/>
      <c r="B38" s="2"/>
      <c r="C38" s="2"/>
      <c r="D38" s="2"/>
      <c r="E38" s="2"/>
      <c r="F38" s="2"/>
    </row>
    <row r="39" ht="27.0" customHeight="1">
      <c r="A39" s="4" t="s">
        <v>180</v>
      </c>
      <c r="B39" s="4"/>
      <c r="C39" s="4"/>
      <c r="D39" s="4"/>
      <c r="E39" s="4"/>
      <c r="F39" s="4"/>
    </row>
    <row r="40" ht="48.75" customHeight="1">
      <c r="A40" s="5" t="s">
        <v>183</v>
      </c>
      <c r="B40" s="5" t="s">
        <v>185</v>
      </c>
      <c r="C40" s="22" t="s">
        <v>187</v>
      </c>
      <c r="D40" s="5" t="s">
        <v>191</v>
      </c>
      <c r="E40" s="2"/>
      <c r="F40" s="2"/>
    </row>
    <row r="41" ht="79.5" customHeight="1">
      <c r="A41" s="16"/>
      <c r="B41" s="16"/>
      <c r="C41" s="16"/>
      <c r="D41" s="16"/>
      <c r="E41" s="2"/>
      <c r="F41" s="2"/>
    </row>
    <row r="42" ht="46.5" customHeight="1">
      <c r="A42" s="24" t="s">
        <v>194</v>
      </c>
      <c r="B42" s="25"/>
    </row>
    <row r="43" ht="60.0" customHeight="1">
      <c r="A43" s="24" t="s">
        <v>207</v>
      </c>
      <c r="B43" s="25"/>
    </row>
    <row r="44" ht="27.0" customHeight="1">
      <c r="A44" s="4" t="s">
        <v>212</v>
      </c>
      <c r="B44" s="4"/>
      <c r="C44" s="4"/>
      <c r="D44" s="4"/>
      <c r="E44" s="4"/>
      <c r="F44" s="4"/>
    </row>
    <row r="45" ht="22.5" customHeight="1">
      <c r="A45" s="3" t="s">
        <v>219</v>
      </c>
      <c r="B45" s="3"/>
      <c r="C45" s="3"/>
      <c r="D45" s="3"/>
      <c r="E45" s="3"/>
      <c r="F45" s="3"/>
    </row>
    <row r="46" ht="22.5" customHeight="1">
      <c r="A46" s="3" t="s">
        <v>222</v>
      </c>
      <c r="B46" s="3"/>
      <c r="C46" s="3"/>
      <c r="D46" s="3"/>
      <c r="E46" s="3"/>
      <c r="F46" s="3"/>
    </row>
    <row r="47" ht="22.5" customHeight="1">
      <c r="A47" s="3" t="s">
        <v>223</v>
      </c>
      <c r="B47" s="3"/>
      <c r="C47" s="3"/>
      <c r="D47" s="3"/>
      <c r="E47" s="3"/>
      <c r="F47" s="3"/>
    </row>
    <row r="48" ht="22.5" customHeight="1">
      <c r="A48" s="3" t="s">
        <v>227</v>
      </c>
      <c r="B48" s="3"/>
      <c r="C48" s="3"/>
      <c r="D48" s="3"/>
      <c r="E48" s="3"/>
      <c r="F48" s="3"/>
    </row>
    <row r="49" ht="22.5" customHeight="1">
      <c r="A49" s="3" t="s">
        <v>230</v>
      </c>
      <c r="B49" s="3"/>
      <c r="C49" s="3"/>
      <c r="D49" s="3"/>
      <c r="E49" s="3"/>
      <c r="F49" s="3"/>
    </row>
    <row r="50" ht="22.5" customHeight="1">
      <c r="A50" s="3" t="s">
        <v>234</v>
      </c>
      <c r="B50" s="3"/>
      <c r="C50" s="3"/>
      <c r="D50" s="3"/>
      <c r="E50" s="3"/>
      <c r="F50" s="3"/>
    </row>
    <row r="51" ht="22.5" customHeight="1">
      <c r="A51" s="3" t="s">
        <v>237</v>
      </c>
      <c r="B51" s="3"/>
      <c r="C51" s="3"/>
      <c r="D51" s="3"/>
      <c r="E51" s="3"/>
      <c r="F51" s="3"/>
    </row>
    <row r="52" ht="22.5" customHeight="1">
      <c r="A52" s="3" t="s">
        <v>241</v>
      </c>
      <c r="B52" s="3"/>
      <c r="C52" s="3"/>
      <c r="D52" s="3"/>
      <c r="E52" s="3"/>
      <c r="F52" s="3"/>
    </row>
    <row r="53" ht="22.5" customHeight="1">
      <c r="A53" s="13" t="s">
        <v>245</v>
      </c>
      <c r="B53" s="3"/>
      <c r="C53" s="3"/>
      <c r="D53" s="3"/>
      <c r="E53" s="3"/>
      <c r="F53" s="3"/>
    </row>
    <row r="54" ht="22.5" customHeight="1">
      <c r="A54" s="3" t="s">
        <v>249</v>
      </c>
      <c r="B54" s="3"/>
      <c r="C54" s="3"/>
      <c r="D54" s="3"/>
      <c r="E54" s="3"/>
      <c r="F54" s="3"/>
    </row>
    <row r="55" ht="22.5" customHeight="1">
      <c r="A55" s="13" t="s">
        <v>252</v>
      </c>
      <c r="B55" s="3"/>
      <c r="C55" s="3"/>
      <c r="D55" s="3"/>
      <c r="E55" s="3"/>
      <c r="F55" s="3"/>
    </row>
    <row r="56" ht="22.5" customHeight="1">
      <c r="A56" s="3" t="s">
        <v>256</v>
      </c>
      <c r="B56" s="3"/>
      <c r="C56" s="3"/>
      <c r="D56" s="3"/>
      <c r="E56" s="3"/>
      <c r="F56" s="3"/>
    </row>
    <row r="57" ht="22.5" customHeight="1">
      <c r="A57" s="3" t="s">
        <v>258</v>
      </c>
      <c r="B57" s="3"/>
      <c r="C57" s="3"/>
      <c r="D57" s="3"/>
      <c r="E57" s="3"/>
      <c r="F57" s="3"/>
    </row>
    <row r="58" ht="22.5" customHeight="1">
      <c r="A58" s="13" t="s">
        <v>262</v>
      </c>
      <c r="B58" s="3"/>
      <c r="C58" s="3"/>
      <c r="D58" s="3"/>
      <c r="E58" s="3"/>
      <c r="F58" s="3"/>
    </row>
    <row r="59" ht="22.5" customHeight="1">
      <c r="A59" s="13" t="s">
        <v>264</v>
      </c>
      <c r="B59" s="3"/>
      <c r="C59" s="3"/>
      <c r="D59" s="3"/>
      <c r="E59" s="3"/>
      <c r="F59" s="3"/>
    </row>
    <row r="60" ht="22.5" customHeight="1">
      <c r="A60" s="3" t="s">
        <v>265</v>
      </c>
      <c r="B60" s="3"/>
      <c r="C60" s="3"/>
      <c r="D60" s="3"/>
      <c r="E60" s="3"/>
      <c r="F60" s="3"/>
    </row>
    <row r="61" ht="22.5" customHeight="1">
      <c r="A61" s="3" t="s">
        <v>268</v>
      </c>
      <c r="B61" s="3"/>
      <c r="C61" s="3"/>
      <c r="D61" s="3"/>
      <c r="E61" s="3"/>
      <c r="F61" s="3"/>
    </row>
    <row r="62" ht="22.5" customHeight="1">
      <c r="A62" s="3" t="s">
        <v>269</v>
      </c>
      <c r="B62" s="3"/>
      <c r="C62" s="3"/>
      <c r="D62" s="3"/>
      <c r="E62" s="3"/>
      <c r="F62" s="3"/>
    </row>
    <row r="63" ht="22.5" customHeight="1">
      <c r="A63" s="3" t="s">
        <v>271</v>
      </c>
      <c r="B63" s="3"/>
      <c r="C63" s="3"/>
      <c r="D63" s="3"/>
      <c r="E63" s="3"/>
      <c r="F63" s="3"/>
    </row>
    <row r="64" ht="22.5" customHeight="1">
      <c r="A64" s="3" t="s">
        <v>274</v>
      </c>
      <c r="B64" s="3"/>
      <c r="C64" s="3"/>
      <c r="D64" s="3"/>
      <c r="E64" s="3"/>
      <c r="F64" s="3"/>
    </row>
    <row r="65" ht="22.5" customHeight="1">
      <c r="A65" s="3" t="s">
        <v>276</v>
      </c>
      <c r="B65" s="3"/>
      <c r="C65" s="3"/>
      <c r="D65" s="3"/>
      <c r="E65" s="3"/>
      <c r="F65" s="3"/>
    </row>
    <row r="66" ht="22.5" customHeight="1">
      <c r="A66" s="3" t="s">
        <v>278</v>
      </c>
      <c r="B66" s="3"/>
      <c r="C66" s="3"/>
      <c r="D66" s="3"/>
      <c r="E66" s="3"/>
      <c r="F66" s="3"/>
    </row>
    <row r="67" ht="22.5" customHeight="1">
      <c r="A67" s="3" t="s">
        <v>280</v>
      </c>
      <c r="B67" s="3"/>
      <c r="C67" s="3"/>
      <c r="D67" s="3"/>
      <c r="E67" s="3"/>
      <c r="F67" s="3"/>
    </row>
    <row r="68" ht="22.5" customHeight="1">
      <c r="A68" s="3" t="s">
        <v>263</v>
      </c>
      <c r="B68" s="3"/>
      <c r="C68" s="3"/>
      <c r="D68" s="3"/>
      <c r="E68" s="3"/>
      <c r="F68" s="3"/>
    </row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E4"/>
    <mergeCell ref="A11:E11"/>
    <mergeCell ref="A30:E30"/>
    <mergeCell ref="B42:F42"/>
    <mergeCell ref="B43:F43"/>
  </mergeCells>
  <hyperlinks>
    <hyperlink display="← Начало" location="'Начало'!A1" ref="A3"/>
    <hyperlink display="Кейс →" location="'Кейс'!A1" ref="C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2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6" t="s">
        <v>5</v>
      </c>
      <c r="B3" s="2"/>
      <c r="C3" s="6" t="s">
        <v>10</v>
      </c>
      <c r="D3" s="2"/>
    </row>
    <row r="4" ht="21.75" customHeight="1">
      <c r="A4" s="2"/>
      <c r="B4" s="2"/>
      <c r="C4" s="2"/>
      <c r="D4" s="2"/>
    </row>
    <row r="5" ht="22.5" customHeight="1">
      <c r="A5" s="10" t="s">
        <v>16</v>
      </c>
      <c r="B5" s="10"/>
      <c r="C5" s="10"/>
      <c r="D5" s="10"/>
    </row>
    <row r="6" ht="22.5" customHeight="1">
      <c r="A6" s="3" t="s">
        <v>21</v>
      </c>
      <c r="B6" s="3"/>
      <c r="C6" s="3"/>
      <c r="D6" s="3"/>
    </row>
    <row r="7" ht="22.5" customHeight="1">
      <c r="A7" s="3" t="s">
        <v>23</v>
      </c>
      <c r="B7" s="3"/>
      <c r="C7" s="3"/>
      <c r="D7" s="3"/>
    </row>
    <row r="8" ht="22.5" customHeight="1">
      <c r="A8" s="3" t="s">
        <v>27</v>
      </c>
      <c r="B8" s="3"/>
      <c r="C8" s="3"/>
      <c r="D8" s="3"/>
    </row>
    <row r="9" ht="22.5" customHeight="1">
      <c r="A9" s="3" t="s">
        <v>31</v>
      </c>
      <c r="B9" s="3"/>
      <c r="C9" s="3"/>
      <c r="D9" s="3"/>
    </row>
    <row r="10" ht="22.5" customHeight="1">
      <c r="A10" s="3" t="s">
        <v>34</v>
      </c>
      <c r="B10" s="3"/>
      <c r="C10" s="3"/>
      <c r="D10" s="3"/>
    </row>
    <row r="11" ht="22.5" customHeight="1">
      <c r="A11" s="3" t="s">
        <v>38</v>
      </c>
      <c r="B11" s="3"/>
      <c r="C11" s="3"/>
      <c r="D11" s="3"/>
    </row>
    <row r="12" ht="22.5" customHeight="1">
      <c r="A12" s="3" t="s">
        <v>43</v>
      </c>
      <c r="B12" s="3"/>
      <c r="C12" s="3"/>
      <c r="D12" s="3"/>
    </row>
    <row r="13" ht="22.5" customHeight="1">
      <c r="A13" s="3" t="s">
        <v>45</v>
      </c>
      <c r="B13" s="3"/>
      <c r="C13" s="3"/>
      <c r="D13" s="3"/>
    </row>
    <row r="14" ht="22.5" customHeight="1">
      <c r="A14" s="3" t="s">
        <v>49</v>
      </c>
      <c r="B14" s="3"/>
      <c r="C14" s="3"/>
      <c r="D14" s="3"/>
    </row>
    <row r="15" ht="22.5" customHeight="1">
      <c r="A15" s="3" t="s">
        <v>52</v>
      </c>
      <c r="B15" s="3"/>
      <c r="C15" s="3"/>
      <c r="D15" s="3"/>
    </row>
    <row r="16" ht="22.5" customHeight="1">
      <c r="A16" s="3" t="s">
        <v>56</v>
      </c>
      <c r="B16" s="3"/>
      <c r="C16" s="3"/>
      <c r="D16" s="3"/>
    </row>
    <row r="17" ht="27.0" customHeight="1">
      <c r="A17" s="4" t="s">
        <v>59</v>
      </c>
      <c r="B17" s="4"/>
      <c r="C17" s="4"/>
      <c r="D17" s="4"/>
    </row>
    <row r="18" ht="48.75" customHeight="1">
      <c r="A18" s="5" t="s">
        <v>64</v>
      </c>
      <c r="B18" s="5" t="s">
        <v>67</v>
      </c>
      <c r="C18" s="5" t="s">
        <v>68</v>
      </c>
      <c r="D18" s="5" t="s">
        <v>70</v>
      </c>
    </row>
    <row r="19" ht="79.5" customHeight="1">
      <c r="A19" s="7" t="s">
        <v>76</v>
      </c>
      <c r="B19" s="17" t="s">
        <v>79</v>
      </c>
      <c r="C19" s="18" t="s">
        <v>85</v>
      </c>
      <c r="D19" s="17" t="s">
        <v>88</v>
      </c>
    </row>
    <row r="20" ht="79.5" customHeight="1">
      <c r="A20" s="7" t="s">
        <v>91</v>
      </c>
      <c r="B20" s="17" t="s">
        <v>93</v>
      </c>
      <c r="C20" s="18" t="s">
        <v>94</v>
      </c>
      <c r="D20" s="17" t="s">
        <v>96</v>
      </c>
    </row>
    <row r="21" ht="79.5" customHeight="1">
      <c r="A21" s="7" t="s">
        <v>99</v>
      </c>
      <c r="B21" s="17" t="s">
        <v>100</v>
      </c>
      <c r="C21" s="18" t="s">
        <v>85</v>
      </c>
      <c r="D21" s="17" t="s">
        <v>102</v>
      </c>
    </row>
    <row r="22" ht="79.5" customHeight="1">
      <c r="A22" s="7" t="s">
        <v>103</v>
      </c>
      <c r="B22" s="17" t="s">
        <v>105</v>
      </c>
      <c r="C22" s="18" t="s">
        <v>106</v>
      </c>
      <c r="D22" s="17" t="s">
        <v>107</v>
      </c>
    </row>
    <row r="23" ht="79.5" customHeight="1">
      <c r="A23" s="7" t="s">
        <v>109</v>
      </c>
      <c r="B23" s="17" t="s">
        <v>110</v>
      </c>
      <c r="C23" s="18" t="s">
        <v>111</v>
      </c>
      <c r="D23" s="17" t="s">
        <v>114</v>
      </c>
    </row>
    <row r="24" ht="79.5" customHeight="1">
      <c r="A24" s="7" t="s">
        <v>117</v>
      </c>
      <c r="B24" s="17" t="s">
        <v>118</v>
      </c>
      <c r="C24" s="18" t="s">
        <v>85</v>
      </c>
      <c r="D24" s="17" t="s">
        <v>120</v>
      </c>
      <c r="I24" s="19"/>
      <c r="J24" s="19"/>
    </row>
    <row r="25" ht="21.75" customHeight="1">
      <c r="A25" s="2"/>
      <c r="B25" s="2"/>
      <c r="C25" s="2"/>
      <c r="D25" s="2"/>
    </row>
    <row r="26" ht="21.75" customHeight="1">
      <c r="A26" s="2"/>
      <c r="B26" s="2"/>
      <c r="C26" s="2"/>
      <c r="D26" s="2"/>
    </row>
    <row r="27" ht="27.0" customHeight="1">
      <c r="A27" s="4" t="s">
        <v>130</v>
      </c>
      <c r="B27" s="4"/>
      <c r="C27" s="4"/>
      <c r="D27" s="4"/>
    </row>
    <row r="28" ht="48.75" customHeight="1">
      <c r="A28" s="5" t="s">
        <v>7</v>
      </c>
      <c r="B28" s="5" t="s">
        <v>134</v>
      </c>
      <c r="C28" s="2"/>
      <c r="D28" s="2"/>
    </row>
    <row r="29" ht="105.0" customHeight="1">
      <c r="A29" s="7" t="s">
        <v>137</v>
      </c>
      <c r="B29" s="20" t="s">
        <v>138</v>
      </c>
      <c r="C29" s="2"/>
      <c r="D29" s="21" t="s">
        <v>141</v>
      </c>
      <c r="G29" s="19"/>
      <c r="H29" s="19"/>
    </row>
    <row r="30" ht="105.0" customHeight="1">
      <c r="A30" s="7" t="s">
        <v>145</v>
      </c>
      <c r="B30" s="20" t="s">
        <v>147</v>
      </c>
      <c r="C30" s="2"/>
      <c r="D30" s="2"/>
    </row>
    <row r="31" ht="105.0" customHeight="1">
      <c r="A31" s="7" t="s">
        <v>150</v>
      </c>
      <c r="B31" s="20" t="s">
        <v>152</v>
      </c>
      <c r="C31" s="2"/>
      <c r="D31" s="2"/>
    </row>
    <row r="32" ht="105.0" customHeight="1">
      <c r="A32" s="7" t="s">
        <v>155</v>
      </c>
      <c r="B32" s="20" t="s">
        <v>157</v>
      </c>
      <c r="C32" s="2"/>
      <c r="D32" s="2"/>
    </row>
    <row r="33" ht="105.0" customHeight="1">
      <c r="A33" s="7" t="s">
        <v>162</v>
      </c>
      <c r="B33" s="20" t="s">
        <v>166</v>
      </c>
      <c r="C33" s="2"/>
      <c r="D33" s="2"/>
    </row>
    <row r="34" ht="105.0" customHeight="1">
      <c r="A34" s="7" t="s">
        <v>168</v>
      </c>
      <c r="B34" s="20" t="s">
        <v>170</v>
      </c>
      <c r="C34" s="2"/>
      <c r="D34" s="2"/>
    </row>
    <row r="35" ht="105.0" customHeight="1">
      <c r="A35" s="7" t="s">
        <v>172</v>
      </c>
      <c r="B35" s="20" t="s">
        <v>174</v>
      </c>
      <c r="C35" s="2"/>
      <c r="D35" s="2"/>
    </row>
    <row r="36" ht="21.75" customHeight="1">
      <c r="A36" s="2"/>
      <c r="B36" s="2"/>
      <c r="C36" s="2"/>
      <c r="D36" s="2"/>
    </row>
    <row r="37" ht="21.75" customHeight="1">
      <c r="A37" s="2"/>
      <c r="B37" s="2"/>
      <c r="C37" s="2"/>
      <c r="D37" s="2"/>
    </row>
    <row r="38" ht="27.0" customHeight="1">
      <c r="A38" s="4" t="s">
        <v>176</v>
      </c>
      <c r="B38" s="4"/>
      <c r="C38" s="4"/>
      <c r="D38" s="4"/>
    </row>
    <row r="39" ht="48.75" customHeight="1">
      <c r="A39" s="5" t="s">
        <v>7</v>
      </c>
      <c r="B39" s="5" t="s">
        <v>134</v>
      </c>
      <c r="C39" s="2"/>
      <c r="D39" s="2"/>
    </row>
    <row r="40" ht="105.0" customHeight="1">
      <c r="A40" s="7" t="s">
        <v>137</v>
      </c>
      <c r="B40" s="17" t="s">
        <v>186</v>
      </c>
      <c r="C40" s="2"/>
      <c r="D40" s="2"/>
    </row>
    <row r="41" ht="105.0" customHeight="1">
      <c r="A41" s="7" t="s">
        <v>145</v>
      </c>
      <c r="B41" s="17" t="s">
        <v>190</v>
      </c>
      <c r="C41" s="2"/>
      <c r="D41" s="2"/>
    </row>
    <row r="42" ht="105.0" customHeight="1">
      <c r="A42" s="7" t="s">
        <v>193</v>
      </c>
      <c r="B42" s="17" t="s">
        <v>196</v>
      </c>
      <c r="C42" s="2"/>
      <c r="D42" s="2"/>
    </row>
    <row r="43" ht="105.0" customHeight="1">
      <c r="A43" s="7" t="s">
        <v>200</v>
      </c>
      <c r="B43" s="17" t="s">
        <v>201</v>
      </c>
      <c r="C43" s="2"/>
      <c r="D43" s="2"/>
    </row>
    <row r="44" ht="105.0" customHeight="1">
      <c r="A44" s="7" t="s">
        <v>205</v>
      </c>
      <c r="B44" s="17" t="s">
        <v>208</v>
      </c>
      <c r="C44" s="2"/>
      <c r="D44" s="2"/>
    </row>
    <row r="45" ht="105.0" customHeight="1">
      <c r="A45" s="7" t="s">
        <v>168</v>
      </c>
      <c r="B45" s="17" t="s">
        <v>215</v>
      </c>
      <c r="C45" s="2"/>
      <c r="D45" s="2"/>
    </row>
    <row r="46" ht="105.0" customHeight="1">
      <c r="A46" s="7" t="s">
        <v>172</v>
      </c>
      <c r="B46" s="17" t="s">
        <v>220</v>
      </c>
      <c r="C46" s="2"/>
      <c r="D46" s="2"/>
    </row>
    <row r="47" ht="21.75" customHeight="1">
      <c r="A47" s="2"/>
      <c r="B47" s="2"/>
      <c r="C47" s="2"/>
      <c r="D47" s="2"/>
    </row>
    <row r="48" ht="21.75" customHeight="1">
      <c r="A48" s="2"/>
      <c r="B48" s="2"/>
      <c r="C48" s="2"/>
      <c r="D48" s="2"/>
    </row>
    <row r="49" ht="27.0" customHeight="1">
      <c r="A49" s="4" t="s">
        <v>212</v>
      </c>
      <c r="B49" s="4"/>
      <c r="C49" s="4"/>
      <c r="D49" s="4"/>
    </row>
    <row r="50" ht="22.5" customHeight="1">
      <c r="A50" s="3" t="s">
        <v>226</v>
      </c>
      <c r="B50" s="3"/>
      <c r="C50" s="3"/>
      <c r="D50" s="3"/>
    </row>
    <row r="51" ht="22.5" customHeight="1">
      <c r="A51" s="3" t="s">
        <v>229</v>
      </c>
      <c r="B51" s="3"/>
      <c r="C51" s="3"/>
      <c r="D51" s="3"/>
    </row>
    <row r="52" ht="22.5" customHeight="1">
      <c r="A52" s="3" t="s">
        <v>232</v>
      </c>
      <c r="B52" s="3"/>
      <c r="C52" s="3"/>
      <c r="D52" s="3"/>
    </row>
    <row r="53" ht="22.5" customHeight="1">
      <c r="A53" s="3" t="s">
        <v>233</v>
      </c>
      <c r="B53" s="3"/>
      <c r="C53" s="3"/>
      <c r="D53" s="3"/>
    </row>
    <row r="54" ht="22.5" customHeight="1">
      <c r="A54" s="3" t="s">
        <v>236</v>
      </c>
      <c r="B54" s="3"/>
      <c r="C54" s="3"/>
      <c r="D54" s="3"/>
    </row>
    <row r="55" ht="22.5" customHeight="1">
      <c r="A55" s="3" t="s">
        <v>239</v>
      </c>
      <c r="B55" s="3"/>
      <c r="C55" s="3"/>
      <c r="D55" s="3"/>
    </row>
    <row r="56" ht="22.5" customHeight="1">
      <c r="A56" s="3" t="s">
        <v>240</v>
      </c>
      <c r="B56" s="3"/>
      <c r="C56" s="3"/>
      <c r="D56" s="3"/>
    </row>
    <row r="57" ht="22.5" customHeight="1">
      <c r="A57" s="3" t="s">
        <v>243</v>
      </c>
      <c r="B57" s="3"/>
      <c r="C57" s="3"/>
      <c r="D57" s="3"/>
    </row>
    <row r="58" ht="22.5" customHeight="1">
      <c r="A58" s="3" t="s">
        <v>244</v>
      </c>
      <c r="B58" s="3"/>
      <c r="C58" s="3"/>
      <c r="D58" s="3"/>
    </row>
    <row r="59" ht="22.5" customHeight="1">
      <c r="A59" s="3" t="s">
        <v>246</v>
      </c>
      <c r="B59" s="3"/>
      <c r="C59" s="3"/>
      <c r="D59" s="3"/>
    </row>
    <row r="60" ht="22.5" customHeight="1">
      <c r="A60" s="3" t="s">
        <v>248</v>
      </c>
      <c r="B60" s="3"/>
      <c r="C60" s="3"/>
      <c r="D60" s="3"/>
    </row>
    <row r="61" ht="22.5" customHeight="1">
      <c r="A61" s="3" t="s">
        <v>250</v>
      </c>
      <c r="B61" s="3"/>
      <c r="C61" s="3"/>
      <c r="D61" s="3"/>
    </row>
    <row r="62" ht="22.5" customHeight="1">
      <c r="A62" s="3" t="s">
        <v>253</v>
      </c>
      <c r="B62" s="3"/>
      <c r="C62" s="3"/>
      <c r="D62" s="3"/>
    </row>
    <row r="63" ht="22.5" customHeight="1">
      <c r="A63" s="3" t="s">
        <v>255</v>
      </c>
      <c r="B63" s="3"/>
      <c r="C63" s="3"/>
      <c r="D63" s="3"/>
    </row>
    <row r="64" ht="22.5" customHeight="1">
      <c r="A64" s="3" t="s">
        <v>259</v>
      </c>
      <c r="B64" s="3"/>
      <c r="C64" s="3"/>
      <c r="D64" s="3"/>
    </row>
    <row r="65" ht="22.5" customHeight="1">
      <c r="A65" s="3" t="s">
        <v>261</v>
      </c>
      <c r="B65" s="3"/>
      <c r="C65" s="3"/>
      <c r="D65" s="3"/>
    </row>
    <row r="66" ht="22.5" customHeight="1">
      <c r="A66" s="3" t="s">
        <v>263</v>
      </c>
      <c r="B66" s="3"/>
      <c r="C66" s="3"/>
      <c r="D66" s="3"/>
    </row>
    <row r="67" ht="21.75" customHeight="1">
      <c r="A67" s="2"/>
      <c r="B67" s="2"/>
      <c r="C67" s="2"/>
      <c r="D67" s="2"/>
    </row>
    <row r="68" ht="21.75" customHeight="1">
      <c r="A68" s="6" t="s">
        <v>266</v>
      </c>
      <c r="B68" s="2"/>
      <c r="C68" s="2"/>
      <c r="D68" s="2"/>
    </row>
    <row r="69" ht="22.5" customHeight="1">
      <c r="A69" s="3" t="s">
        <v>273</v>
      </c>
      <c r="B69" s="3"/>
      <c r="C69" s="3"/>
      <c r="D69" s="3"/>
    </row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1_Успех'!A1" ref="A6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319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0" t="s">
        <v>328</v>
      </c>
      <c r="B5" s="10"/>
      <c r="C5" s="10"/>
      <c r="D5" s="10"/>
      <c r="E5" s="10"/>
      <c r="F5" s="10"/>
    </row>
    <row r="6" ht="22.5" customHeight="1">
      <c r="A6" s="3" t="s">
        <v>329</v>
      </c>
      <c r="B6" s="3"/>
      <c r="C6" s="3"/>
      <c r="D6" s="3"/>
      <c r="E6" s="3"/>
      <c r="F6" s="3"/>
    </row>
    <row r="7" ht="22.5" customHeight="1">
      <c r="A7" s="3" t="s">
        <v>331</v>
      </c>
      <c r="B7" s="3"/>
      <c r="C7" s="3"/>
      <c r="D7" s="3"/>
      <c r="E7" s="3"/>
      <c r="F7" s="3"/>
    </row>
    <row r="8" ht="22.5" customHeight="1">
      <c r="A8" s="3" t="s">
        <v>332</v>
      </c>
      <c r="B8" s="3"/>
      <c r="C8" s="3"/>
      <c r="D8" s="3"/>
      <c r="E8" s="3"/>
      <c r="F8" s="3"/>
    </row>
    <row r="9" ht="22.5" customHeight="1">
      <c r="A9" s="3" t="s">
        <v>269</v>
      </c>
      <c r="B9" s="3"/>
      <c r="C9" s="3"/>
      <c r="D9" s="3"/>
      <c r="E9" s="3"/>
      <c r="F9" s="3"/>
    </row>
    <row r="10" ht="22.5" customHeight="1">
      <c r="A10" s="3" t="s">
        <v>335</v>
      </c>
      <c r="B10" s="3"/>
      <c r="C10" s="3"/>
      <c r="D10" s="3"/>
      <c r="E10" s="3"/>
      <c r="F10" s="3"/>
    </row>
    <row r="11" ht="22.5" customHeight="1">
      <c r="A11" s="3" t="s">
        <v>336</v>
      </c>
      <c r="B11" s="3"/>
      <c r="C11" s="3"/>
      <c r="D11" s="3"/>
      <c r="E11" s="3"/>
      <c r="F11" s="3"/>
    </row>
    <row r="12" ht="22.5" customHeight="1">
      <c r="A12" s="3" t="s">
        <v>337</v>
      </c>
      <c r="B12" s="3"/>
      <c r="C12" s="3"/>
      <c r="D12" s="3"/>
      <c r="E12" s="3"/>
      <c r="F12" s="3"/>
    </row>
    <row r="13" ht="22.5" customHeight="1">
      <c r="A13" s="3" t="s">
        <v>339</v>
      </c>
      <c r="B13" s="3"/>
      <c r="C13" s="3"/>
      <c r="D13" s="3"/>
      <c r="E13" s="3"/>
      <c r="F13" s="3"/>
    </row>
    <row r="14" ht="22.5" customHeight="1">
      <c r="A14" s="3" t="s">
        <v>340</v>
      </c>
      <c r="B14" s="3"/>
      <c r="C14" s="3"/>
      <c r="D14" s="3"/>
      <c r="E14" s="3"/>
      <c r="F14" s="3"/>
    </row>
    <row r="15" ht="22.5" customHeight="1">
      <c r="A15" s="3" t="s">
        <v>56</v>
      </c>
      <c r="B15" s="3"/>
      <c r="C15" s="3"/>
      <c r="D15" s="3"/>
      <c r="E15" s="3"/>
      <c r="F15" s="3"/>
    </row>
    <row r="16" ht="27.0" customHeight="1">
      <c r="A16" s="4" t="s">
        <v>343</v>
      </c>
      <c r="B16" s="4"/>
      <c r="C16" s="4"/>
      <c r="D16" s="4"/>
      <c r="E16" s="4"/>
      <c r="F16" s="4"/>
    </row>
    <row r="17" ht="48.75" customHeight="1">
      <c r="A17" s="5" t="s">
        <v>344</v>
      </c>
      <c r="B17" s="5" t="s">
        <v>345</v>
      </c>
      <c r="C17" s="5" t="s">
        <v>346</v>
      </c>
      <c r="D17" s="5" t="s">
        <v>347</v>
      </c>
      <c r="E17" s="5" t="s">
        <v>348</v>
      </c>
      <c r="F17" s="5" t="s">
        <v>349</v>
      </c>
    </row>
    <row r="18" ht="79.5" customHeight="1">
      <c r="A18" s="7" t="s">
        <v>350</v>
      </c>
      <c r="B18" s="16"/>
      <c r="C18" s="16"/>
      <c r="D18" s="16"/>
      <c r="E18" s="16"/>
      <c r="F18" s="16"/>
    </row>
    <row r="19" ht="79.5" customHeight="1">
      <c r="A19" s="7" t="s">
        <v>351</v>
      </c>
      <c r="B19" s="16"/>
      <c r="C19" s="16"/>
      <c r="D19" s="16"/>
      <c r="E19" s="16"/>
      <c r="F19" s="16"/>
    </row>
    <row r="20" ht="79.5" customHeight="1">
      <c r="A20" s="7" t="s">
        <v>353</v>
      </c>
      <c r="B20" s="16"/>
      <c r="C20" s="16"/>
      <c r="D20" s="16"/>
      <c r="E20" s="16"/>
      <c r="F20" s="16"/>
    </row>
    <row r="21" ht="79.5" customHeight="1">
      <c r="A21" s="7" t="s">
        <v>354</v>
      </c>
      <c r="B21" s="16"/>
      <c r="C21" s="16"/>
      <c r="D21" s="16"/>
      <c r="E21" s="16"/>
      <c r="F21" s="16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357</v>
      </c>
      <c r="B24" s="4"/>
      <c r="C24" s="4"/>
      <c r="D24" s="4"/>
      <c r="E24" s="4"/>
      <c r="F24" s="4"/>
    </row>
    <row r="25" ht="48.75" customHeight="1">
      <c r="A25" s="5" t="s">
        <v>359</v>
      </c>
      <c r="B25" s="5" t="s">
        <v>360</v>
      </c>
      <c r="C25" s="5" t="s">
        <v>361</v>
      </c>
      <c r="D25" s="2"/>
      <c r="E25" s="2"/>
      <c r="F25" s="2"/>
    </row>
    <row r="26" ht="79.5" customHeight="1">
      <c r="A26" s="26" t="s">
        <v>363</v>
      </c>
      <c r="B26" s="16"/>
      <c r="C26" s="16"/>
      <c r="D26" s="2"/>
      <c r="E26" s="2"/>
      <c r="F26" s="2"/>
    </row>
    <row r="27" ht="79.5" customHeight="1">
      <c r="A27" s="26" t="s">
        <v>368</v>
      </c>
      <c r="B27" s="16"/>
      <c r="C27" s="16"/>
      <c r="D27" s="2"/>
      <c r="E27" s="2"/>
      <c r="F27" s="2"/>
    </row>
    <row r="28" ht="79.5" customHeight="1">
      <c r="A28" s="26" t="s">
        <v>372</v>
      </c>
      <c r="B28" s="16"/>
      <c r="C28" s="16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212</v>
      </c>
      <c r="B31" s="4"/>
      <c r="C31" s="4"/>
      <c r="D31" s="4"/>
      <c r="E31" s="4"/>
      <c r="F31" s="4"/>
    </row>
    <row r="32" ht="22.5" customHeight="1">
      <c r="A32" s="3" t="s">
        <v>375</v>
      </c>
      <c r="B32" s="3"/>
      <c r="C32" s="3"/>
      <c r="D32" s="3"/>
      <c r="E32" s="3"/>
      <c r="F32" s="3"/>
    </row>
    <row r="33" ht="22.5" customHeight="1">
      <c r="A33" s="3" t="s">
        <v>376</v>
      </c>
      <c r="B33" s="3"/>
      <c r="C33" s="3"/>
      <c r="D33" s="3"/>
      <c r="E33" s="3"/>
      <c r="F33" s="3"/>
    </row>
    <row r="34" ht="22.5" customHeight="1">
      <c r="A34" s="3" t="s">
        <v>378</v>
      </c>
      <c r="B34" s="3"/>
      <c r="C34" s="3"/>
      <c r="D34" s="3"/>
      <c r="E34" s="3"/>
      <c r="F34" s="3"/>
    </row>
    <row r="35" ht="22.5" customHeight="1">
      <c r="A35" s="3" t="s">
        <v>379</v>
      </c>
      <c r="B35" s="3"/>
      <c r="C35" s="3"/>
      <c r="D35" s="3"/>
      <c r="E35" s="3"/>
      <c r="F35" s="3"/>
    </row>
    <row r="36" ht="22.5" customHeight="1">
      <c r="A36" s="3" t="s">
        <v>381</v>
      </c>
      <c r="B36" s="3"/>
      <c r="C36" s="3"/>
      <c r="D36" s="3"/>
      <c r="E36" s="3"/>
      <c r="F36" s="3"/>
    </row>
    <row r="37" ht="22.5" customHeight="1">
      <c r="A37" s="3" t="s">
        <v>383</v>
      </c>
      <c r="B37" s="3"/>
      <c r="C37" s="3"/>
      <c r="D37" s="3"/>
      <c r="E37" s="3"/>
      <c r="F37" s="3"/>
    </row>
    <row r="38" ht="22.5" customHeight="1">
      <c r="A38" s="3" t="s">
        <v>384</v>
      </c>
      <c r="B38" s="3"/>
      <c r="C38" s="3"/>
      <c r="D38" s="3"/>
      <c r="E38" s="3"/>
      <c r="F38" s="3"/>
    </row>
    <row r="39" ht="22.5" customHeight="1">
      <c r="A39" s="3" t="s">
        <v>386</v>
      </c>
      <c r="B39" s="3"/>
      <c r="C39" s="3"/>
      <c r="D39" s="3"/>
      <c r="E39" s="3"/>
      <c r="F39" s="3"/>
    </row>
    <row r="40" ht="22.5" customHeight="1">
      <c r="A40" s="3" t="s">
        <v>387</v>
      </c>
      <c r="B40" s="3"/>
      <c r="C40" s="3"/>
      <c r="D40" s="3"/>
      <c r="E40" s="3"/>
      <c r="F40" s="3"/>
    </row>
    <row r="41" ht="22.5" customHeight="1">
      <c r="A41" s="3" t="s">
        <v>389</v>
      </c>
      <c r="B41" s="3"/>
      <c r="C41" s="3"/>
      <c r="D41" s="3"/>
      <c r="E41" s="3"/>
      <c r="F41" s="3"/>
    </row>
    <row r="42" ht="22.5" customHeight="1">
      <c r="A42" s="3" t="s">
        <v>390</v>
      </c>
      <c r="B42" s="3"/>
      <c r="C42" s="3"/>
      <c r="D42" s="3"/>
      <c r="E42" s="3"/>
      <c r="F42" s="3"/>
    </row>
    <row r="43" ht="27.0" customHeight="1">
      <c r="A43" s="4" t="s">
        <v>392</v>
      </c>
      <c r="B43" s="4"/>
      <c r="C43" s="4"/>
      <c r="D43" s="4"/>
      <c r="E43" s="4"/>
      <c r="F43" s="4"/>
    </row>
    <row r="44" ht="22.5" customHeight="1">
      <c r="A44" s="10" t="s">
        <v>393</v>
      </c>
      <c r="B44" s="10"/>
      <c r="C44" s="10"/>
      <c r="D44" s="10"/>
      <c r="E44" s="10"/>
      <c r="F44" s="10"/>
    </row>
    <row r="45" ht="22.5" customHeight="1">
      <c r="A45" s="3" t="s">
        <v>395</v>
      </c>
      <c r="B45" s="3"/>
      <c r="C45" s="3"/>
      <c r="D45" s="3"/>
      <c r="E45" s="3"/>
      <c r="F45" s="3"/>
    </row>
    <row r="46" ht="22.5" customHeight="1">
      <c r="A46" s="3" t="s">
        <v>397</v>
      </c>
      <c r="B46" s="3"/>
      <c r="C46" s="3"/>
      <c r="D46" s="3"/>
      <c r="E46" s="3"/>
      <c r="F46" s="3"/>
    </row>
    <row r="47" ht="22.5" customHeight="1">
      <c r="A47" s="3" t="s">
        <v>399</v>
      </c>
      <c r="B47" s="3"/>
      <c r="C47" s="3"/>
      <c r="D47" s="3"/>
      <c r="E47" s="3"/>
      <c r="F47" s="3"/>
    </row>
    <row r="48" ht="22.5" customHeight="1">
      <c r="A48" s="3" t="s">
        <v>401</v>
      </c>
      <c r="B48" s="3"/>
      <c r="C48" s="3"/>
      <c r="D48" s="3"/>
      <c r="E48" s="3"/>
      <c r="F48" s="3"/>
    </row>
    <row r="49" ht="22.5" customHeight="1">
      <c r="A49" s="3" t="s">
        <v>402</v>
      </c>
      <c r="B49" s="3"/>
      <c r="C49" s="3"/>
      <c r="D49" s="3"/>
      <c r="E49" s="3"/>
      <c r="F49" s="3"/>
    </row>
    <row r="50" ht="27.0" customHeight="1">
      <c r="A50" s="4" t="s">
        <v>405</v>
      </c>
      <c r="B50" s="4"/>
      <c r="C50" s="4"/>
      <c r="D50" s="4"/>
      <c r="E50" s="4"/>
      <c r="F50" s="4"/>
    </row>
    <row r="51" ht="48.75" customHeight="1">
      <c r="A51" s="5" t="s">
        <v>344</v>
      </c>
      <c r="B51" s="5" t="s">
        <v>408</v>
      </c>
      <c r="C51" s="5" t="s">
        <v>409</v>
      </c>
      <c r="D51" s="2"/>
      <c r="E51" s="2"/>
      <c r="F51" s="2"/>
    </row>
    <row r="52" ht="117.0" customHeight="1">
      <c r="A52" s="15" t="s">
        <v>350</v>
      </c>
      <c r="B52" s="15" t="s">
        <v>412</v>
      </c>
      <c r="C52" s="15" t="s">
        <v>416</v>
      </c>
      <c r="D52" s="2"/>
      <c r="E52" s="2"/>
      <c r="F52" s="2"/>
    </row>
    <row r="53" ht="117.0" customHeight="1">
      <c r="A53" s="15" t="s">
        <v>351</v>
      </c>
      <c r="B53" s="15" t="s">
        <v>420</v>
      </c>
      <c r="C53" s="15" t="s">
        <v>422</v>
      </c>
      <c r="D53" s="2"/>
      <c r="E53" s="2"/>
      <c r="F53" s="2"/>
    </row>
    <row r="54" ht="132.0" customHeight="1">
      <c r="A54" s="15" t="s">
        <v>353</v>
      </c>
      <c r="B54" s="15" t="s">
        <v>425</v>
      </c>
      <c r="C54" s="15" t="s">
        <v>428</v>
      </c>
      <c r="D54" s="2"/>
      <c r="E54" s="2"/>
      <c r="F54" s="2"/>
    </row>
    <row r="55" ht="147.0" customHeight="1">
      <c r="A55" s="15" t="s">
        <v>354</v>
      </c>
      <c r="B55" s="15" t="s">
        <v>431</v>
      </c>
      <c r="C55" s="15" t="s">
        <v>433</v>
      </c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1.75" customHeight="1">
      <c r="A57" s="2"/>
      <c r="B57" s="2"/>
      <c r="C57" s="2"/>
      <c r="D57" s="2"/>
      <c r="E57" s="2"/>
      <c r="F57" s="2"/>
    </row>
    <row r="58" ht="22.5" customHeight="1">
      <c r="A58" s="3" t="s">
        <v>263</v>
      </c>
      <c r="B58" s="3"/>
      <c r="C58" s="3"/>
      <c r="D58" s="3"/>
      <c r="E58" s="3"/>
      <c r="F58" s="3"/>
    </row>
    <row r="59" ht="21.75" customHeight="1">
      <c r="A59" s="2"/>
      <c r="B59" s="2"/>
      <c r="C59" s="2"/>
      <c r="D59" s="2"/>
      <c r="E59" s="2"/>
      <c r="F59" s="2"/>
    </row>
    <row r="60" ht="21.75" customHeight="1">
      <c r="A60" s="6" t="s">
        <v>266</v>
      </c>
      <c r="B60" s="2"/>
      <c r="C60" s="2"/>
      <c r="D60" s="2"/>
      <c r="E60" s="2"/>
      <c r="F60" s="2"/>
    </row>
    <row r="61" ht="22.5" customHeight="1">
      <c r="A61" s="3" t="s">
        <v>273</v>
      </c>
      <c r="B61" s="3"/>
      <c r="C61" s="3"/>
      <c r="D61" s="3"/>
      <c r="E61" s="3"/>
      <c r="F61" s="3"/>
    </row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2_Решения'!A1" ref="A6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404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0" t="s">
        <v>439</v>
      </c>
      <c r="B5" s="10"/>
      <c r="C5" s="10"/>
      <c r="D5" s="10"/>
      <c r="E5" s="10"/>
      <c r="F5" s="10"/>
    </row>
    <row r="6" ht="22.5" customHeight="1">
      <c r="A6" s="3" t="s">
        <v>442</v>
      </c>
      <c r="B6" s="3"/>
      <c r="C6" s="3"/>
      <c r="D6" s="3"/>
      <c r="E6" s="3"/>
      <c r="F6" s="3"/>
    </row>
    <row r="7" ht="22.5" customHeight="1">
      <c r="A7" s="3" t="s">
        <v>443</v>
      </c>
      <c r="B7" s="3"/>
      <c r="C7" s="3"/>
      <c r="D7" s="3"/>
      <c r="E7" s="3"/>
      <c r="F7" s="3"/>
    </row>
    <row r="8" ht="22.5" customHeight="1">
      <c r="A8" s="3" t="s">
        <v>445</v>
      </c>
      <c r="B8" s="3"/>
      <c r="C8" s="3"/>
      <c r="D8" s="3"/>
      <c r="E8" s="3"/>
      <c r="F8" s="3"/>
    </row>
    <row r="9" ht="22.5" customHeight="1">
      <c r="A9" s="3" t="s">
        <v>449</v>
      </c>
      <c r="B9" s="3"/>
      <c r="C9" s="3"/>
      <c r="D9" s="3"/>
      <c r="E9" s="3"/>
      <c r="F9" s="3"/>
    </row>
    <row r="10" ht="22.5" customHeight="1">
      <c r="A10" s="3" t="s">
        <v>452</v>
      </c>
      <c r="B10" s="3"/>
      <c r="C10" s="3"/>
      <c r="D10" s="3"/>
      <c r="E10" s="3"/>
      <c r="F10" s="3"/>
    </row>
    <row r="11" ht="22.5" customHeight="1">
      <c r="A11" s="3" t="s">
        <v>455</v>
      </c>
      <c r="B11" s="3"/>
      <c r="C11" s="3"/>
      <c r="D11" s="3"/>
      <c r="E11" s="3"/>
      <c r="F11" s="3"/>
    </row>
    <row r="12" ht="22.5" customHeight="1">
      <c r="A12" s="3" t="s">
        <v>458</v>
      </c>
      <c r="B12" s="3"/>
      <c r="C12" s="3"/>
      <c r="D12" s="3"/>
      <c r="E12" s="3"/>
      <c r="F12" s="3"/>
    </row>
    <row r="13" ht="22.5" customHeight="1">
      <c r="A13" s="3" t="s">
        <v>459</v>
      </c>
      <c r="B13" s="3"/>
      <c r="C13" s="3"/>
      <c r="D13" s="3"/>
      <c r="E13" s="3"/>
      <c r="F13" s="3"/>
    </row>
    <row r="14" ht="22.5" customHeight="1">
      <c r="A14" s="3" t="s">
        <v>461</v>
      </c>
      <c r="B14" s="3"/>
      <c r="C14" s="3"/>
      <c r="D14" s="3"/>
      <c r="E14" s="3"/>
      <c r="F14" s="3"/>
    </row>
    <row r="15" ht="22.5" customHeight="1">
      <c r="A15" s="3" t="s">
        <v>465</v>
      </c>
      <c r="B15" s="3"/>
      <c r="C15" s="3"/>
      <c r="D15" s="3"/>
      <c r="E15" s="3"/>
      <c r="F15" s="3"/>
    </row>
    <row r="16" ht="22.5" customHeight="1">
      <c r="A16" s="3" t="s">
        <v>56</v>
      </c>
      <c r="B16" s="3"/>
      <c r="C16" s="3"/>
      <c r="D16" s="3"/>
      <c r="E16" s="3"/>
      <c r="F16" s="3"/>
    </row>
    <row r="17" ht="27.0" customHeight="1">
      <c r="A17" s="4" t="s">
        <v>469</v>
      </c>
      <c r="B17" s="4"/>
      <c r="C17" s="4"/>
      <c r="D17" s="4"/>
      <c r="E17" s="4"/>
      <c r="F17" s="4"/>
    </row>
    <row r="18" ht="48.75" customHeight="1">
      <c r="A18" s="5" t="s">
        <v>471</v>
      </c>
      <c r="B18" s="5" t="s">
        <v>473</v>
      </c>
      <c r="C18" s="5" t="s">
        <v>475</v>
      </c>
      <c r="D18" s="5" t="s">
        <v>478</v>
      </c>
      <c r="E18" s="5" t="s">
        <v>479</v>
      </c>
      <c r="F18" s="5" t="s">
        <v>480</v>
      </c>
    </row>
    <row r="19" ht="79.5" customHeight="1">
      <c r="A19" s="7" t="s">
        <v>481</v>
      </c>
      <c r="B19" s="16"/>
      <c r="C19" s="16"/>
      <c r="D19" s="16"/>
      <c r="E19" s="16"/>
      <c r="F19" s="16"/>
    </row>
    <row r="20" ht="79.5" customHeight="1">
      <c r="A20" s="7" t="s">
        <v>482</v>
      </c>
      <c r="B20" s="16"/>
      <c r="C20" s="16"/>
      <c r="D20" s="16"/>
      <c r="E20" s="16"/>
      <c r="F20" s="16"/>
    </row>
    <row r="21" ht="79.5" customHeight="1">
      <c r="A21" s="7" t="s">
        <v>483</v>
      </c>
      <c r="B21" s="16"/>
      <c r="C21" s="16"/>
      <c r="D21" s="16"/>
      <c r="E21" s="16"/>
      <c r="F21" s="16"/>
    </row>
    <row r="22" ht="79.5" customHeight="1">
      <c r="A22" s="7" t="s">
        <v>484</v>
      </c>
      <c r="B22" s="16"/>
      <c r="C22" s="16"/>
      <c r="D22" s="16"/>
      <c r="E22" s="16"/>
      <c r="F22" s="16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485</v>
      </c>
      <c r="B25" s="4"/>
      <c r="C25" s="4"/>
      <c r="D25" s="4"/>
      <c r="E25" s="4"/>
      <c r="F25" s="4"/>
    </row>
    <row r="26" ht="48.75" customHeight="1">
      <c r="A26" s="5" t="s">
        <v>7</v>
      </c>
      <c r="B26" s="5" t="s">
        <v>486</v>
      </c>
      <c r="C26" s="2"/>
      <c r="D26" s="2"/>
      <c r="E26" s="2"/>
      <c r="F26" s="2"/>
    </row>
    <row r="27" ht="105.0" customHeight="1">
      <c r="A27" s="7" t="s">
        <v>487</v>
      </c>
      <c r="B27" s="16"/>
      <c r="C27" s="2"/>
      <c r="D27" s="2"/>
      <c r="E27" s="2"/>
      <c r="F27" s="2"/>
    </row>
    <row r="28" ht="105.0" customHeight="1">
      <c r="A28" s="7" t="s">
        <v>489</v>
      </c>
      <c r="B28" s="16"/>
      <c r="C28" s="2"/>
      <c r="D28" s="2"/>
      <c r="E28" s="2"/>
      <c r="F28" s="2"/>
    </row>
    <row r="29" ht="105.0" customHeight="1">
      <c r="A29" s="7" t="s">
        <v>493</v>
      </c>
      <c r="B29" s="16"/>
      <c r="C29" s="2"/>
      <c r="D29" s="2"/>
      <c r="E29" s="2"/>
      <c r="F29" s="2"/>
    </row>
    <row r="30" ht="105.0" customHeight="1">
      <c r="A30" s="7" t="s">
        <v>497</v>
      </c>
      <c r="B30" s="16"/>
      <c r="C30" s="2"/>
      <c r="D30" s="2"/>
      <c r="E30" s="2"/>
      <c r="F30" s="2"/>
    </row>
    <row r="31" ht="105.0" customHeight="1">
      <c r="A31" s="7" t="s">
        <v>500</v>
      </c>
      <c r="B31" s="16"/>
      <c r="C31" s="2"/>
      <c r="D31" s="2"/>
      <c r="E31" s="2"/>
      <c r="F31" s="2"/>
    </row>
    <row r="32" ht="105.0" customHeight="1">
      <c r="A32" s="7" t="s">
        <v>501</v>
      </c>
      <c r="B32" s="16"/>
      <c r="C32" s="2"/>
      <c r="D32" s="2"/>
      <c r="E32" s="2"/>
      <c r="F32" s="2"/>
    </row>
    <row r="33" ht="105.0" customHeight="1">
      <c r="A33" s="7" t="s">
        <v>503</v>
      </c>
      <c r="B33" s="16"/>
      <c r="C33" s="2"/>
      <c r="D33" s="2"/>
      <c r="E33" s="2"/>
      <c r="F33" s="2"/>
    </row>
    <row r="34" ht="105.0" customHeight="1">
      <c r="A34" s="7" t="s">
        <v>507</v>
      </c>
      <c r="B34" s="16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510</v>
      </c>
      <c r="B37" s="4"/>
      <c r="C37" s="4"/>
      <c r="D37" s="4"/>
      <c r="E37" s="4"/>
      <c r="F37" s="4"/>
    </row>
    <row r="38" ht="48.75" customHeight="1">
      <c r="A38" s="5" t="s">
        <v>511</v>
      </c>
      <c r="B38" s="5" t="s">
        <v>185</v>
      </c>
      <c r="C38" s="5" t="s">
        <v>513</v>
      </c>
      <c r="D38" s="5" t="s">
        <v>515</v>
      </c>
      <c r="E38" s="2"/>
      <c r="F38" s="2"/>
    </row>
    <row r="39" ht="79.5" customHeight="1">
      <c r="A39" s="16"/>
      <c r="B39" s="16"/>
      <c r="C39" s="16"/>
      <c r="D39" s="16"/>
      <c r="E39" s="2"/>
      <c r="F39" s="2"/>
    </row>
    <row r="40" ht="79.5" customHeight="1">
      <c r="A40" s="16"/>
      <c r="B40" s="16"/>
      <c r="C40" s="16"/>
      <c r="D40" s="16"/>
      <c r="E40" s="2"/>
      <c r="F40" s="2"/>
    </row>
    <row r="41" ht="79.5" customHeight="1">
      <c r="A41" s="16"/>
      <c r="B41" s="16"/>
      <c r="C41" s="16"/>
      <c r="D41" s="16"/>
      <c r="E41" s="2"/>
      <c r="F41" s="2"/>
    </row>
    <row r="42" ht="21.75" customHeight="1">
      <c r="A42" s="2"/>
      <c r="B42" s="2"/>
      <c r="C42" s="2"/>
      <c r="D42" s="2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7.0" customHeight="1">
      <c r="A44" s="4" t="s">
        <v>212</v>
      </c>
      <c r="B44" s="4"/>
      <c r="C44" s="4"/>
      <c r="D44" s="4"/>
      <c r="E44" s="4"/>
      <c r="F44" s="4"/>
    </row>
    <row r="45" ht="22.5" customHeight="1">
      <c r="A45" s="3" t="s">
        <v>526</v>
      </c>
      <c r="B45" s="3"/>
      <c r="C45" s="3"/>
      <c r="D45" s="3"/>
      <c r="E45" s="3"/>
      <c r="F45" s="3"/>
    </row>
    <row r="46" ht="22.5" customHeight="1">
      <c r="A46" s="3" t="s">
        <v>527</v>
      </c>
      <c r="B46" s="3"/>
      <c r="C46" s="3"/>
      <c r="D46" s="3"/>
      <c r="E46" s="3"/>
      <c r="F46" s="3"/>
    </row>
    <row r="47" ht="22.5" customHeight="1">
      <c r="A47" s="3" t="s">
        <v>529</v>
      </c>
      <c r="B47" s="3"/>
      <c r="C47" s="3"/>
      <c r="D47" s="3"/>
      <c r="E47" s="3"/>
      <c r="F47" s="3"/>
    </row>
    <row r="48" ht="22.5" customHeight="1">
      <c r="A48" s="3" t="s">
        <v>531</v>
      </c>
      <c r="B48" s="3"/>
      <c r="C48" s="3"/>
      <c r="D48" s="3"/>
      <c r="E48" s="3"/>
      <c r="F48" s="3"/>
    </row>
    <row r="49" ht="22.5" customHeight="1">
      <c r="A49" s="3" t="s">
        <v>532</v>
      </c>
      <c r="B49" s="3"/>
      <c r="C49" s="3"/>
      <c r="D49" s="3"/>
      <c r="E49" s="3"/>
      <c r="F49" s="3"/>
    </row>
    <row r="50" ht="22.5" customHeight="1">
      <c r="A50" s="3" t="s">
        <v>533</v>
      </c>
      <c r="B50" s="3"/>
      <c r="C50" s="3"/>
      <c r="D50" s="3"/>
      <c r="E50" s="3"/>
      <c r="F50" s="3"/>
    </row>
    <row r="51" ht="22.5" customHeight="1">
      <c r="A51" s="3" t="s">
        <v>534</v>
      </c>
      <c r="B51" s="3"/>
      <c r="C51" s="3"/>
      <c r="D51" s="3"/>
      <c r="E51" s="3"/>
      <c r="F51" s="3"/>
    </row>
    <row r="52" ht="22.5" customHeight="1">
      <c r="A52" s="3" t="s">
        <v>536</v>
      </c>
      <c r="B52" s="3"/>
      <c r="C52" s="3"/>
      <c r="D52" s="3"/>
      <c r="E52" s="3"/>
      <c r="F52" s="3"/>
    </row>
    <row r="53" ht="22.5" customHeight="1">
      <c r="A53" s="3" t="s">
        <v>538</v>
      </c>
      <c r="B53" s="3"/>
      <c r="C53" s="3"/>
      <c r="D53" s="3"/>
      <c r="E53" s="3"/>
      <c r="F53" s="3"/>
    </row>
    <row r="54" ht="22.5" customHeight="1">
      <c r="A54" s="3" t="s">
        <v>540</v>
      </c>
      <c r="B54" s="3"/>
      <c r="C54" s="3"/>
      <c r="D54" s="3"/>
      <c r="E54" s="3"/>
      <c r="F54" s="3"/>
    </row>
    <row r="55" ht="22.5" customHeight="1">
      <c r="A55" s="3" t="s">
        <v>542</v>
      </c>
      <c r="B55" s="3"/>
      <c r="C55" s="3"/>
      <c r="D55" s="3"/>
      <c r="E55" s="3"/>
      <c r="F55" s="3"/>
    </row>
    <row r="56" ht="22.5" customHeight="1">
      <c r="A56" s="3" t="s">
        <v>545</v>
      </c>
      <c r="B56" s="3"/>
      <c r="C56" s="3"/>
      <c r="D56" s="3"/>
      <c r="E56" s="3"/>
      <c r="F56" s="3"/>
    </row>
    <row r="57" ht="22.5" customHeight="1">
      <c r="A57" s="3" t="s">
        <v>549</v>
      </c>
      <c r="B57" s="3"/>
      <c r="C57" s="3"/>
      <c r="D57" s="3"/>
      <c r="E57" s="3"/>
      <c r="F57" s="3"/>
    </row>
    <row r="58" ht="22.5" customHeight="1">
      <c r="A58" s="3" t="s">
        <v>551</v>
      </c>
      <c r="B58" s="3"/>
      <c r="C58" s="3"/>
      <c r="D58" s="3"/>
      <c r="E58" s="3"/>
      <c r="F58" s="3"/>
    </row>
    <row r="59" ht="22.5" customHeight="1">
      <c r="A59" s="3" t="s">
        <v>554</v>
      </c>
      <c r="B59" s="3"/>
      <c r="C59" s="3"/>
      <c r="D59" s="3"/>
      <c r="E59" s="3"/>
      <c r="F59" s="3"/>
    </row>
    <row r="60" ht="27.0" customHeight="1">
      <c r="A60" s="4" t="s">
        <v>392</v>
      </c>
      <c r="B60" s="4"/>
      <c r="C60" s="4"/>
      <c r="D60" s="4"/>
      <c r="E60" s="4"/>
      <c r="F60" s="4"/>
    </row>
    <row r="61" ht="22.5" customHeight="1">
      <c r="A61" s="10" t="s">
        <v>561</v>
      </c>
      <c r="B61" s="10"/>
      <c r="C61" s="10"/>
      <c r="D61" s="10"/>
      <c r="E61" s="10"/>
      <c r="F61" s="10"/>
    </row>
    <row r="62" ht="22.5" customHeight="1">
      <c r="A62" s="3" t="s">
        <v>564</v>
      </c>
      <c r="B62" s="3"/>
      <c r="C62" s="3"/>
      <c r="D62" s="3"/>
      <c r="E62" s="3"/>
      <c r="F62" s="3"/>
    </row>
    <row r="63" ht="22.5" customHeight="1">
      <c r="A63" s="3" t="s">
        <v>568</v>
      </c>
      <c r="B63" s="3"/>
      <c r="C63" s="3"/>
      <c r="D63" s="3"/>
      <c r="E63" s="3"/>
      <c r="F63" s="3"/>
    </row>
    <row r="64" ht="22.5" customHeight="1">
      <c r="A64" s="3" t="s">
        <v>570</v>
      </c>
      <c r="B64" s="3"/>
      <c r="C64" s="3"/>
      <c r="D64" s="3"/>
      <c r="E64" s="3"/>
      <c r="F64" s="3"/>
    </row>
    <row r="65" ht="22.5" customHeight="1">
      <c r="A65" s="3" t="s">
        <v>572</v>
      </c>
      <c r="B65" s="3"/>
      <c r="C65" s="3"/>
      <c r="D65" s="3"/>
      <c r="E65" s="3"/>
      <c r="F65" s="3"/>
    </row>
    <row r="66" ht="22.5" customHeight="1">
      <c r="A66" s="3" t="s">
        <v>576</v>
      </c>
      <c r="B66" s="3"/>
      <c r="C66" s="3"/>
      <c r="D66" s="3"/>
      <c r="E66" s="3"/>
      <c r="F66" s="3"/>
    </row>
    <row r="67" ht="22.5" customHeight="1">
      <c r="A67" s="3" t="s">
        <v>581</v>
      </c>
      <c r="B67" s="3"/>
      <c r="C67" s="3"/>
      <c r="D67" s="3"/>
      <c r="E67" s="3"/>
      <c r="F67" s="3"/>
    </row>
    <row r="68" ht="22.5" customHeight="1">
      <c r="A68" s="3" t="s">
        <v>582</v>
      </c>
      <c r="B68" s="3"/>
      <c r="C68" s="3"/>
      <c r="D68" s="3"/>
      <c r="E68" s="3"/>
      <c r="F68" s="3"/>
    </row>
    <row r="69" ht="27.0" customHeight="1">
      <c r="A69" s="4" t="s">
        <v>583</v>
      </c>
      <c r="B69" s="4"/>
      <c r="C69" s="4"/>
      <c r="D69" s="4"/>
      <c r="E69" s="4"/>
      <c r="F69" s="4"/>
    </row>
    <row r="70" ht="48.75" customHeight="1">
      <c r="A70" s="5" t="s">
        <v>471</v>
      </c>
      <c r="B70" s="5" t="s">
        <v>585</v>
      </c>
      <c r="C70" s="5" t="s">
        <v>587</v>
      </c>
      <c r="D70" s="2"/>
      <c r="E70" s="2"/>
      <c r="F70" s="2"/>
    </row>
    <row r="71" ht="87.0" customHeight="1">
      <c r="A71" s="15" t="s">
        <v>481</v>
      </c>
      <c r="B71" s="15" t="s">
        <v>588</v>
      </c>
      <c r="C71" s="15" t="s">
        <v>589</v>
      </c>
      <c r="D71" s="2"/>
      <c r="E71" s="2"/>
      <c r="F71" s="2"/>
    </row>
    <row r="72" ht="87.0" customHeight="1">
      <c r="A72" s="15" t="s">
        <v>590</v>
      </c>
      <c r="B72" s="15" t="s">
        <v>591</v>
      </c>
      <c r="C72" s="15" t="s">
        <v>592</v>
      </c>
      <c r="D72" s="2"/>
      <c r="E72" s="2"/>
      <c r="F72" s="2"/>
    </row>
    <row r="73" ht="87.0" customHeight="1">
      <c r="A73" s="15" t="s">
        <v>593</v>
      </c>
      <c r="B73" s="15" t="s">
        <v>594</v>
      </c>
      <c r="C73" s="15" t="s">
        <v>595</v>
      </c>
      <c r="D73" s="2"/>
      <c r="E73" s="2"/>
      <c r="F73" s="2"/>
    </row>
    <row r="74" ht="72.0" customHeight="1">
      <c r="A74" s="15" t="s">
        <v>596</v>
      </c>
      <c r="B74" s="15" t="s">
        <v>597</v>
      </c>
      <c r="C74" s="15" t="s">
        <v>598</v>
      </c>
      <c r="D74" s="2"/>
      <c r="E74" s="2"/>
      <c r="F74" s="2"/>
    </row>
    <row r="75" ht="21.75" customHeight="1">
      <c r="A75" s="2"/>
      <c r="B75" s="2"/>
      <c r="C75" s="2"/>
      <c r="D75" s="2"/>
      <c r="E75" s="2"/>
      <c r="F75" s="2"/>
    </row>
    <row r="76" ht="21.75" customHeight="1">
      <c r="A76" s="2"/>
      <c r="B76" s="2"/>
      <c r="C76" s="2"/>
      <c r="D76" s="2"/>
      <c r="E76" s="2"/>
      <c r="F76" s="2"/>
    </row>
    <row r="77" ht="22.5" customHeight="1">
      <c r="A77" s="3" t="s">
        <v>263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1.75" customHeight="1">
      <c r="A79" s="6" t="s">
        <v>266</v>
      </c>
      <c r="B79" s="2"/>
      <c r="C79" s="2"/>
      <c r="D79" s="2"/>
      <c r="E79" s="2"/>
      <c r="F79" s="2"/>
    </row>
    <row r="80" ht="22.5" customHeight="1">
      <c r="A80" s="3" t="s">
        <v>273</v>
      </c>
      <c r="B80" s="3"/>
      <c r="C80" s="3"/>
      <c r="D80" s="3"/>
      <c r="E80" s="3"/>
      <c r="F80" s="3"/>
    </row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3_Подход'!A1" ref="A7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415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6" t="s">
        <v>5</v>
      </c>
      <c r="B3" s="2"/>
      <c r="C3" s="6" t="s">
        <v>10</v>
      </c>
      <c r="D3" s="2"/>
    </row>
    <row r="4" ht="21.75" customHeight="1">
      <c r="A4" s="2"/>
      <c r="B4" s="2"/>
      <c r="C4" s="2"/>
      <c r="D4" s="2"/>
    </row>
    <row r="5" ht="22.5" customHeight="1">
      <c r="A5" s="10" t="s">
        <v>446</v>
      </c>
      <c r="B5" s="10"/>
      <c r="C5" s="10"/>
      <c r="D5" s="10"/>
    </row>
    <row r="6" ht="22.5" customHeight="1">
      <c r="A6" s="3" t="s">
        <v>448</v>
      </c>
      <c r="B6" s="3"/>
      <c r="C6" s="3"/>
      <c r="D6" s="3"/>
    </row>
    <row r="7" ht="22.5" customHeight="1">
      <c r="A7" s="3" t="s">
        <v>450</v>
      </c>
      <c r="B7" s="3"/>
      <c r="C7" s="3"/>
      <c r="D7" s="3"/>
    </row>
    <row r="8" ht="22.5" customHeight="1">
      <c r="A8" s="3" t="s">
        <v>451</v>
      </c>
      <c r="B8" s="3"/>
      <c r="C8" s="3"/>
      <c r="D8" s="3"/>
    </row>
    <row r="9" ht="22.5" customHeight="1">
      <c r="A9" s="3" t="s">
        <v>453</v>
      </c>
      <c r="B9" s="3"/>
      <c r="C9" s="3"/>
      <c r="D9" s="3"/>
    </row>
    <row r="10" ht="22.5" customHeight="1">
      <c r="A10" s="3" t="s">
        <v>454</v>
      </c>
      <c r="B10" s="3"/>
      <c r="C10" s="3"/>
      <c r="D10" s="3"/>
    </row>
    <row r="11" ht="22.5" customHeight="1">
      <c r="A11" s="3" t="s">
        <v>456</v>
      </c>
      <c r="B11" s="3"/>
      <c r="C11" s="3"/>
      <c r="D11" s="3"/>
    </row>
    <row r="12" ht="22.5" customHeight="1">
      <c r="A12" s="3" t="s">
        <v>457</v>
      </c>
      <c r="B12" s="3"/>
      <c r="C12" s="3"/>
      <c r="D12" s="3"/>
    </row>
    <row r="13" ht="22.5" customHeight="1">
      <c r="A13" s="3" t="s">
        <v>56</v>
      </c>
      <c r="B13" s="3"/>
      <c r="C13" s="3"/>
      <c r="D13" s="3"/>
    </row>
    <row r="14" ht="27.0" customHeight="1">
      <c r="A14" s="4" t="s">
        <v>460</v>
      </c>
      <c r="B14" s="4"/>
      <c r="C14" s="4"/>
      <c r="D14" s="4"/>
    </row>
    <row r="15" ht="48.75" customHeight="1">
      <c r="A15" s="5" t="s">
        <v>462</v>
      </c>
      <c r="B15" s="5" t="s">
        <v>463</v>
      </c>
      <c r="C15" s="5" t="s">
        <v>464</v>
      </c>
      <c r="D15" s="2"/>
    </row>
    <row r="16" ht="79.5" customHeight="1">
      <c r="A16" s="26" t="s">
        <v>466</v>
      </c>
      <c r="B16" s="16"/>
      <c r="C16" s="16"/>
      <c r="D16" s="2"/>
    </row>
    <row r="17" ht="79.5" customHeight="1">
      <c r="A17" s="26" t="s">
        <v>347</v>
      </c>
      <c r="B17" s="16"/>
      <c r="C17" s="16"/>
      <c r="D17" s="2"/>
    </row>
    <row r="18" ht="79.5" customHeight="1">
      <c r="A18" s="26" t="s">
        <v>467</v>
      </c>
      <c r="B18" s="16"/>
      <c r="C18" s="16"/>
      <c r="D18" s="2"/>
    </row>
    <row r="19" ht="79.5" customHeight="1">
      <c r="A19" s="26" t="s">
        <v>468</v>
      </c>
      <c r="B19" s="16"/>
      <c r="C19" s="16"/>
      <c r="D19" s="2"/>
    </row>
    <row r="20" ht="21.75" customHeight="1">
      <c r="A20" s="2"/>
      <c r="B20" s="2"/>
      <c r="C20" s="2"/>
      <c r="D20" s="2"/>
    </row>
    <row r="21" ht="21.75" customHeight="1">
      <c r="A21" s="2"/>
      <c r="B21" s="2"/>
      <c r="C21" s="2"/>
      <c r="D21" s="2"/>
    </row>
    <row r="22" ht="27.0" customHeight="1">
      <c r="A22" s="4" t="s">
        <v>470</v>
      </c>
      <c r="B22" s="4"/>
      <c r="C22" s="4"/>
      <c r="D22" s="4"/>
    </row>
    <row r="23" ht="48.75" customHeight="1">
      <c r="A23" s="5" t="s">
        <v>472</v>
      </c>
      <c r="B23" s="5" t="s">
        <v>474</v>
      </c>
      <c r="C23" s="5" t="s">
        <v>476</v>
      </c>
      <c r="D23" s="5" t="s">
        <v>477</v>
      </c>
    </row>
    <row r="24" ht="79.5" customHeight="1">
      <c r="A24" s="16"/>
      <c r="B24" s="16"/>
      <c r="C24" s="16"/>
      <c r="D24" s="16"/>
    </row>
    <row r="25" ht="79.5" customHeight="1">
      <c r="A25" s="16"/>
      <c r="B25" s="16"/>
      <c r="C25" s="16"/>
      <c r="D25" s="16"/>
    </row>
    <row r="26" ht="79.5" customHeight="1">
      <c r="A26" s="16"/>
      <c r="B26" s="16"/>
      <c r="C26" s="16"/>
      <c r="D26" s="16"/>
    </row>
    <row r="27" ht="79.5" customHeight="1">
      <c r="A27" s="16"/>
      <c r="B27" s="16"/>
      <c r="C27" s="16"/>
      <c r="D27" s="16"/>
    </row>
    <row r="28" ht="79.5" customHeight="1">
      <c r="A28" s="16"/>
      <c r="B28" s="16"/>
      <c r="C28" s="16"/>
      <c r="D28" s="16"/>
    </row>
    <row r="29" ht="79.5" customHeight="1">
      <c r="A29" s="16"/>
      <c r="B29" s="16"/>
      <c r="C29" s="16"/>
      <c r="D29" s="16"/>
    </row>
    <row r="30" ht="79.5" customHeight="1">
      <c r="A30" s="16"/>
      <c r="B30" s="16"/>
      <c r="C30" s="16"/>
      <c r="D30" s="16"/>
    </row>
    <row r="31" ht="79.5" customHeight="1">
      <c r="A31" s="16"/>
      <c r="B31" s="16"/>
      <c r="C31" s="16"/>
      <c r="D31" s="16"/>
    </row>
    <row r="32" ht="79.5" customHeight="1">
      <c r="A32" s="16"/>
      <c r="B32" s="16"/>
      <c r="C32" s="16"/>
      <c r="D32" s="16"/>
    </row>
    <row r="33" ht="79.5" customHeight="1">
      <c r="A33" s="16"/>
      <c r="B33" s="16"/>
      <c r="C33" s="16"/>
      <c r="D33" s="16"/>
    </row>
    <row r="34" ht="21.75" customHeight="1">
      <c r="A34" s="2"/>
      <c r="B34" s="2"/>
      <c r="C34" s="2"/>
      <c r="D34" s="2"/>
    </row>
    <row r="35" ht="21.75" customHeight="1">
      <c r="A35" s="2"/>
      <c r="B35" s="2"/>
      <c r="C35" s="2"/>
      <c r="D35" s="2"/>
    </row>
    <row r="36" ht="27.0" customHeight="1">
      <c r="A36" s="4" t="s">
        <v>488</v>
      </c>
      <c r="B36" s="4"/>
      <c r="C36" s="4"/>
      <c r="D36" s="4"/>
    </row>
    <row r="37" ht="48.75" customHeight="1">
      <c r="A37" s="5" t="s">
        <v>490</v>
      </c>
      <c r="B37" s="5" t="s">
        <v>491</v>
      </c>
      <c r="C37" s="5" t="s">
        <v>492</v>
      </c>
      <c r="D37" s="5" t="s">
        <v>494</v>
      </c>
    </row>
    <row r="38" ht="79.5" customHeight="1">
      <c r="A38" s="26" t="s">
        <v>495</v>
      </c>
      <c r="B38" s="16"/>
      <c r="C38" s="16"/>
      <c r="D38" s="16"/>
    </row>
    <row r="39" ht="79.5" customHeight="1">
      <c r="A39" s="26" t="s">
        <v>496</v>
      </c>
      <c r="B39" s="16"/>
      <c r="C39" s="16"/>
      <c r="D39" s="16"/>
    </row>
    <row r="40" ht="79.5" customHeight="1">
      <c r="A40" s="26" t="s">
        <v>498</v>
      </c>
      <c r="B40" s="16"/>
      <c r="C40" s="16"/>
      <c r="D40" s="16"/>
    </row>
    <row r="41" ht="79.5" customHeight="1">
      <c r="A41" s="26" t="s">
        <v>499</v>
      </c>
      <c r="B41" s="16"/>
      <c r="C41" s="16"/>
      <c r="D41" s="16"/>
    </row>
    <row r="42" ht="21.75" customHeight="1">
      <c r="A42" s="2"/>
      <c r="B42" s="2"/>
      <c r="C42" s="2"/>
      <c r="D42" s="2"/>
    </row>
    <row r="43" ht="21.75" customHeight="1">
      <c r="A43" s="2"/>
      <c r="B43" s="2"/>
      <c r="C43" s="2"/>
      <c r="D43" s="2"/>
    </row>
    <row r="44" ht="27.0" customHeight="1">
      <c r="A44" s="4" t="s">
        <v>502</v>
      </c>
      <c r="B44" s="4"/>
      <c r="C44" s="4"/>
      <c r="D44" s="4"/>
    </row>
    <row r="45" ht="48.75" customHeight="1">
      <c r="A45" s="5" t="s">
        <v>504</v>
      </c>
      <c r="B45" s="5" t="s">
        <v>505</v>
      </c>
      <c r="C45" s="5" t="s">
        <v>506</v>
      </c>
      <c r="D45" s="2"/>
    </row>
    <row r="46" ht="79.5" customHeight="1">
      <c r="A46" s="26" t="s">
        <v>508</v>
      </c>
      <c r="B46" s="16"/>
      <c r="C46" s="16"/>
      <c r="D46" s="2"/>
    </row>
    <row r="47" ht="79.5" customHeight="1">
      <c r="A47" s="26" t="s">
        <v>509</v>
      </c>
      <c r="B47" s="16"/>
      <c r="C47" s="16"/>
      <c r="D47" s="2"/>
    </row>
    <row r="48" ht="21.75" customHeight="1">
      <c r="A48" s="2"/>
      <c r="B48" s="2"/>
      <c r="C48" s="2"/>
      <c r="D48" s="2"/>
    </row>
    <row r="49" ht="21.75" customHeight="1">
      <c r="A49" s="2"/>
      <c r="B49" s="2"/>
      <c r="C49" s="2"/>
      <c r="D49" s="2"/>
    </row>
    <row r="50" ht="27.0" customHeight="1">
      <c r="A50" s="4" t="s">
        <v>212</v>
      </c>
      <c r="B50" s="4"/>
      <c r="C50" s="4"/>
      <c r="D50" s="4"/>
    </row>
    <row r="51" ht="22.5" customHeight="1">
      <c r="A51" s="3" t="s">
        <v>512</v>
      </c>
      <c r="B51" s="3"/>
      <c r="C51" s="3"/>
      <c r="D51" s="3"/>
    </row>
    <row r="52" ht="22.5" customHeight="1">
      <c r="A52" s="3" t="s">
        <v>514</v>
      </c>
      <c r="B52" s="3"/>
      <c r="C52" s="3"/>
      <c r="D52" s="3"/>
    </row>
    <row r="53" ht="22.5" customHeight="1">
      <c r="A53" s="3" t="s">
        <v>516</v>
      </c>
      <c r="B53" s="3"/>
      <c r="C53" s="3"/>
      <c r="D53" s="3"/>
    </row>
    <row r="54" ht="22.5" customHeight="1">
      <c r="A54" s="3" t="s">
        <v>517</v>
      </c>
      <c r="B54" s="3"/>
      <c r="C54" s="3"/>
      <c r="D54" s="3"/>
    </row>
    <row r="55" ht="22.5" customHeight="1">
      <c r="A55" s="3" t="s">
        <v>518</v>
      </c>
      <c r="B55" s="3"/>
      <c r="C55" s="3"/>
      <c r="D55" s="3"/>
    </row>
    <row r="56" ht="22.5" customHeight="1">
      <c r="A56" s="3" t="s">
        <v>519</v>
      </c>
      <c r="B56" s="3"/>
      <c r="C56" s="3"/>
      <c r="D56" s="3"/>
    </row>
    <row r="57" ht="22.5" customHeight="1">
      <c r="A57" s="3" t="s">
        <v>520</v>
      </c>
      <c r="B57" s="3"/>
      <c r="C57" s="3"/>
      <c r="D57" s="3"/>
    </row>
    <row r="58" ht="22.5" customHeight="1">
      <c r="A58" s="3" t="s">
        <v>521</v>
      </c>
      <c r="B58" s="3"/>
      <c r="C58" s="3"/>
      <c r="D58" s="3"/>
    </row>
    <row r="59" ht="22.5" customHeight="1">
      <c r="A59" s="3" t="s">
        <v>522</v>
      </c>
      <c r="B59" s="3"/>
      <c r="C59" s="3"/>
      <c r="D59" s="3"/>
    </row>
    <row r="60" ht="22.5" customHeight="1">
      <c r="A60" s="3" t="s">
        <v>523</v>
      </c>
      <c r="B60" s="3"/>
      <c r="C60" s="3"/>
      <c r="D60" s="3"/>
    </row>
    <row r="61" ht="22.5" customHeight="1">
      <c r="A61" s="3" t="s">
        <v>524</v>
      </c>
      <c r="B61" s="3"/>
      <c r="C61" s="3"/>
      <c r="D61" s="3"/>
    </row>
    <row r="62" ht="22.5" customHeight="1">
      <c r="A62" s="3" t="s">
        <v>525</v>
      </c>
      <c r="B62" s="3"/>
      <c r="C62" s="3"/>
      <c r="D62" s="3"/>
    </row>
    <row r="63" ht="27.0" customHeight="1">
      <c r="A63" s="4" t="s">
        <v>392</v>
      </c>
      <c r="B63" s="4"/>
      <c r="C63" s="4"/>
      <c r="D63" s="4"/>
    </row>
    <row r="64" ht="22.5" customHeight="1">
      <c r="A64" s="10" t="s">
        <v>528</v>
      </c>
      <c r="B64" s="10"/>
      <c r="C64" s="10"/>
      <c r="D64" s="10"/>
    </row>
    <row r="65" ht="22.5" customHeight="1">
      <c r="A65" s="3" t="s">
        <v>530</v>
      </c>
      <c r="B65" s="3"/>
      <c r="C65" s="3"/>
      <c r="D65" s="3"/>
    </row>
    <row r="66" ht="22.5" customHeight="1">
      <c r="A66" s="3" t="s">
        <v>535</v>
      </c>
      <c r="B66" s="3"/>
      <c r="C66" s="3"/>
      <c r="D66" s="3"/>
    </row>
    <row r="67" ht="22.5" customHeight="1">
      <c r="A67" s="3" t="s">
        <v>537</v>
      </c>
      <c r="B67" s="3"/>
      <c r="C67" s="3"/>
      <c r="D67" s="3"/>
    </row>
    <row r="68" ht="22.5" customHeight="1">
      <c r="A68" s="3" t="s">
        <v>539</v>
      </c>
      <c r="B68" s="3"/>
      <c r="C68" s="3"/>
      <c r="D68" s="3"/>
    </row>
    <row r="69" ht="22.5" customHeight="1">
      <c r="A69" s="3" t="s">
        <v>541</v>
      </c>
      <c r="B69" s="3"/>
      <c r="C69" s="3"/>
      <c r="D69" s="3"/>
    </row>
    <row r="70" ht="22.5" customHeight="1">
      <c r="A70" s="3" t="s">
        <v>543</v>
      </c>
      <c r="B70" s="3"/>
      <c r="C70" s="3"/>
      <c r="D70" s="3"/>
    </row>
    <row r="71" ht="27.0" customHeight="1">
      <c r="A71" s="4" t="s">
        <v>544</v>
      </c>
      <c r="B71" s="4"/>
      <c r="C71" s="4"/>
      <c r="D71" s="4"/>
    </row>
    <row r="72" ht="48.75" customHeight="1">
      <c r="A72" s="5" t="s">
        <v>546</v>
      </c>
      <c r="B72" s="5" t="s">
        <v>547</v>
      </c>
      <c r="C72" s="5" t="s">
        <v>548</v>
      </c>
      <c r="D72" s="5" t="s">
        <v>550</v>
      </c>
    </row>
    <row r="73" ht="72.0" customHeight="1">
      <c r="A73" s="15" t="s">
        <v>552</v>
      </c>
      <c r="B73" s="15" t="s">
        <v>553</v>
      </c>
      <c r="C73" s="15" t="s">
        <v>555</v>
      </c>
      <c r="D73" s="15" t="s">
        <v>556</v>
      </c>
    </row>
    <row r="74" ht="87.0" customHeight="1">
      <c r="A74" s="15" t="s">
        <v>557</v>
      </c>
      <c r="B74" s="15" t="s">
        <v>558</v>
      </c>
      <c r="C74" s="15" t="s">
        <v>559</v>
      </c>
      <c r="D74" s="15" t="s">
        <v>560</v>
      </c>
    </row>
    <row r="75" ht="72.0" customHeight="1">
      <c r="A75" s="15" t="s">
        <v>562</v>
      </c>
      <c r="B75" s="15" t="s">
        <v>563</v>
      </c>
      <c r="C75" s="15" t="s">
        <v>565</v>
      </c>
      <c r="D75" s="15" t="s">
        <v>560</v>
      </c>
    </row>
    <row r="76" ht="72.0" customHeight="1">
      <c r="A76" s="15" t="s">
        <v>566</v>
      </c>
      <c r="B76" s="15" t="s">
        <v>567</v>
      </c>
      <c r="C76" s="15" t="s">
        <v>569</v>
      </c>
      <c r="D76" s="15" t="s">
        <v>560</v>
      </c>
    </row>
    <row r="77" ht="21.75" customHeight="1">
      <c r="A77" s="2"/>
      <c r="B77" s="2"/>
      <c r="C77" s="2"/>
      <c r="D77" s="2"/>
    </row>
    <row r="78" ht="21.75" customHeight="1">
      <c r="A78" s="2"/>
      <c r="B78" s="2"/>
      <c r="C78" s="2"/>
      <c r="D78" s="2"/>
    </row>
    <row r="79" ht="27.0" customHeight="1">
      <c r="A79" s="4" t="s">
        <v>571</v>
      </c>
      <c r="B79" s="4"/>
      <c r="C79" s="4"/>
      <c r="D79" s="4"/>
    </row>
    <row r="80" ht="48.75" customHeight="1">
      <c r="A80" s="5" t="s">
        <v>472</v>
      </c>
      <c r="B80" s="5" t="s">
        <v>573</v>
      </c>
      <c r="C80" s="5" t="s">
        <v>185</v>
      </c>
      <c r="D80" s="2"/>
    </row>
    <row r="81" ht="72.0" customHeight="1">
      <c r="A81" s="15" t="s">
        <v>574</v>
      </c>
      <c r="B81" s="15" t="s">
        <v>575</v>
      </c>
      <c r="C81" s="15" t="s">
        <v>577</v>
      </c>
      <c r="D81" s="2"/>
    </row>
    <row r="82" ht="72.0" customHeight="1">
      <c r="A82" s="15" t="s">
        <v>578</v>
      </c>
      <c r="B82" s="15" t="s">
        <v>579</v>
      </c>
      <c r="C82" s="15" t="s">
        <v>580</v>
      </c>
      <c r="D82" s="2"/>
    </row>
    <row r="83" ht="21.75" customHeight="1">
      <c r="A83" s="2"/>
      <c r="B83" s="2"/>
      <c r="C83" s="2"/>
      <c r="D83" s="2"/>
    </row>
    <row r="84" ht="21.75" customHeight="1">
      <c r="A84" s="2"/>
      <c r="B84" s="2"/>
      <c r="C84" s="2"/>
      <c r="D84" s="2"/>
    </row>
    <row r="85" ht="22.5" customHeight="1">
      <c r="A85" s="3" t="s">
        <v>263</v>
      </c>
      <c r="B85" s="3"/>
      <c r="C85" s="3"/>
      <c r="D85" s="3"/>
    </row>
    <row r="86" ht="21.75" customHeight="1">
      <c r="A86" s="2"/>
      <c r="B86" s="2"/>
      <c r="C86" s="2"/>
      <c r="D86" s="2"/>
    </row>
    <row r="87" ht="21.75" customHeight="1">
      <c r="A87" s="6" t="s">
        <v>266</v>
      </c>
      <c r="B87" s="2"/>
      <c r="C87" s="2"/>
      <c r="D87" s="2"/>
    </row>
    <row r="88" ht="22.5" customHeight="1">
      <c r="A88" s="3" t="s">
        <v>273</v>
      </c>
      <c r="B88" s="3"/>
      <c r="C88" s="3"/>
      <c r="D88" s="3"/>
    </row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4_Обоснование'!A1" ref="A8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0"/>
    <col customWidth="1" min="2" max="2" width="18.0"/>
    <col customWidth="1" min="3" max="3" width="23.0"/>
    <col customWidth="1" min="4" max="9" width="12.0"/>
    <col customWidth="1" min="10" max="26" width="8.63"/>
  </cols>
  <sheetData>
    <row r="1" ht="28.5" customHeight="1">
      <c r="A1" s="1" t="s">
        <v>584</v>
      </c>
      <c r="B1" s="1"/>
      <c r="C1" s="1"/>
      <c r="D1" s="1"/>
      <c r="E1" s="1"/>
      <c r="F1" s="1"/>
      <c r="G1" s="1"/>
      <c r="H1" s="1"/>
      <c r="I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  <c r="G3" s="2"/>
      <c r="H3" s="2"/>
      <c r="I3" s="2"/>
    </row>
    <row r="4" ht="21.75" customHeight="1">
      <c r="A4" s="2"/>
      <c r="B4" s="2"/>
      <c r="C4" s="2"/>
      <c r="D4" s="2"/>
      <c r="E4" s="2"/>
      <c r="F4" s="2"/>
      <c r="G4" s="2"/>
      <c r="H4" s="2"/>
      <c r="I4" s="2"/>
    </row>
    <row r="5" ht="22.5" customHeight="1">
      <c r="A5" s="10" t="s">
        <v>600</v>
      </c>
      <c r="B5" s="10"/>
      <c r="C5" s="10"/>
      <c r="D5" s="10"/>
      <c r="E5" s="10"/>
      <c r="F5" s="10"/>
      <c r="G5" s="10"/>
      <c r="H5" s="10"/>
      <c r="I5" s="10"/>
    </row>
    <row r="6" ht="22.5" customHeight="1">
      <c r="A6" s="3" t="s">
        <v>602</v>
      </c>
      <c r="B6" s="3"/>
      <c r="C6" s="3"/>
      <c r="D6" s="3"/>
      <c r="E6" s="3"/>
      <c r="F6" s="3"/>
      <c r="G6" s="3"/>
      <c r="H6" s="3"/>
      <c r="I6" s="3"/>
    </row>
    <row r="7" ht="22.5" customHeight="1">
      <c r="A7" s="3" t="s">
        <v>604</v>
      </c>
      <c r="B7" s="3"/>
      <c r="C7" s="3"/>
      <c r="D7" s="3"/>
      <c r="E7" s="3"/>
      <c r="F7" s="3"/>
      <c r="G7" s="3"/>
      <c r="H7" s="3"/>
      <c r="I7" s="3"/>
    </row>
    <row r="8" ht="22.5" customHeight="1">
      <c r="A8" s="3" t="s">
        <v>606</v>
      </c>
      <c r="B8" s="3"/>
      <c r="C8" s="3"/>
      <c r="D8" s="3"/>
      <c r="E8" s="3"/>
      <c r="F8" s="3"/>
      <c r="G8" s="3"/>
      <c r="H8" s="3"/>
      <c r="I8" s="3"/>
    </row>
    <row r="9" ht="22.5" customHeight="1">
      <c r="A9" s="3" t="s">
        <v>608</v>
      </c>
      <c r="B9" s="3"/>
      <c r="C9" s="3"/>
      <c r="D9" s="3"/>
      <c r="E9" s="3"/>
      <c r="F9" s="3"/>
      <c r="G9" s="3"/>
      <c r="H9" s="3"/>
      <c r="I9" s="3"/>
    </row>
    <row r="10" ht="22.5" customHeight="1">
      <c r="A10" s="3" t="s">
        <v>610</v>
      </c>
      <c r="B10" s="3"/>
      <c r="C10" s="3"/>
      <c r="D10" s="3"/>
      <c r="E10" s="3"/>
      <c r="F10" s="3"/>
      <c r="G10" s="3"/>
      <c r="H10" s="3"/>
      <c r="I10" s="3"/>
    </row>
    <row r="11" ht="22.5" customHeight="1">
      <c r="A11" s="3" t="s">
        <v>612</v>
      </c>
      <c r="B11" s="3"/>
      <c r="C11" s="3"/>
      <c r="D11" s="3"/>
      <c r="E11" s="3"/>
      <c r="F11" s="3"/>
      <c r="G11" s="3"/>
      <c r="H11" s="3"/>
      <c r="I11" s="3"/>
    </row>
    <row r="12" ht="22.5" customHeight="1">
      <c r="A12" s="3" t="s">
        <v>614</v>
      </c>
      <c r="B12" s="3"/>
      <c r="C12" s="3"/>
      <c r="D12" s="3"/>
      <c r="E12" s="3"/>
      <c r="F12" s="3"/>
      <c r="G12" s="3"/>
      <c r="H12" s="3"/>
      <c r="I12" s="3"/>
    </row>
    <row r="13" ht="22.5" customHeight="1">
      <c r="A13" s="3" t="s">
        <v>616</v>
      </c>
      <c r="B13" s="3"/>
      <c r="C13" s="3"/>
      <c r="D13" s="3"/>
      <c r="E13" s="3"/>
      <c r="F13" s="3"/>
      <c r="G13" s="3"/>
      <c r="H13" s="3"/>
      <c r="I13" s="3"/>
    </row>
    <row r="14" ht="22.5" customHeight="1">
      <c r="A14" s="3" t="s">
        <v>618</v>
      </c>
      <c r="B14" s="3"/>
      <c r="C14" s="3"/>
      <c r="D14" s="3"/>
      <c r="E14" s="3"/>
      <c r="F14" s="3"/>
      <c r="G14" s="3"/>
      <c r="H14" s="3"/>
      <c r="I14" s="3"/>
    </row>
    <row r="15" ht="22.5" customHeight="1">
      <c r="A15" s="3" t="s">
        <v>620</v>
      </c>
      <c r="B15" s="3"/>
      <c r="C15" s="3"/>
      <c r="D15" s="3"/>
      <c r="E15" s="3"/>
      <c r="F15" s="3"/>
      <c r="G15" s="3"/>
      <c r="H15" s="3"/>
      <c r="I15" s="3"/>
    </row>
    <row r="16" ht="22.5" customHeight="1">
      <c r="A16" s="3" t="s">
        <v>622</v>
      </c>
      <c r="B16" s="3"/>
      <c r="C16" s="3"/>
      <c r="D16" s="3"/>
      <c r="E16" s="3"/>
      <c r="F16" s="3"/>
      <c r="G16" s="3"/>
      <c r="H16" s="3"/>
      <c r="I16" s="3"/>
    </row>
    <row r="17" ht="22.5" customHeight="1">
      <c r="A17" s="3" t="s">
        <v>623</v>
      </c>
      <c r="B17" s="3"/>
      <c r="C17" s="3"/>
      <c r="D17" s="3"/>
      <c r="E17" s="3"/>
      <c r="F17" s="3"/>
      <c r="G17" s="3"/>
      <c r="H17" s="3"/>
      <c r="I17" s="3"/>
    </row>
    <row r="18" ht="22.5" customHeight="1">
      <c r="A18" s="3" t="s">
        <v>56</v>
      </c>
      <c r="B18" s="3"/>
      <c r="C18" s="3"/>
      <c r="D18" s="3"/>
      <c r="E18" s="3"/>
      <c r="F18" s="3"/>
      <c r="G18" s="3"/>
      <c r="H18" s="3"/>
      <c r="I18" s="3"/>
    </row>
    <row r="19" ht="27.0" customHeight="1">
      <c r="A19" s="4" t="s">
        <v>626</v>
      </c>
      <c r="B19" s="4"/>
      <c r="C19" s="4"/>
      <c r="D19" s="4"/>
      <c r="E19" s="4"/>
      <c r="F19" s="4"/>
      <c r="G19" s="4"/>
      <c r="H19" s="4"/>
      <c r="I19" s="4"/>
    </row>
    <row r="20" ht="48.75" customHeight="1">
      <c r="A20" s="5" t="s">
        <v>492</v>
      </c>
      <c r="B20" s="5" t="s">
        <v>628</v>
      </c>
      <c r="C20" s="5" t="s">
        <v>629</v>
      </c>
      <c r="D20" s="5" t="s">
        <v>631</v>
      </c>
      <c r="E20" s="5" t="s">
        <v>632</v>
      </c>
      <c r="F20" s="5" t="s">
        <v>633</v>
      </c>
      <c r="G20" s="5" t="s">
        <v>634</v>
      </c>
      <c r="H20" s="5" t="s">
        <v>635</v>
      </c>
      <c r="I20" s="5" t="s">
        <v>636</v>
      </c>
    </row>
    <row r="21" ht="79.5" customHeight="1">
      <c r="A21" s="7" t="s">
        <v>638</v>
      </c>
      <c r="B21" s="27">
        <v>3.0</v>
      </c>
      <c r="C21" s="28" t="s">
        <v>641</v>
      </c>
      <c r="D21" s="29">
        <f>IF(COUNT(B21:B24)&lt;4,"",0)</f>
        <v>0</v>
      </c>
      <c r="E21" s="30">
        <f>IF(COUNT(B21:B24)&lt;4,"",D21+B21)</f>
        <v>3</v>
      </c>
      <c r="F21" s="30">
        <f>IF(COUNT(B21:B24)&lt;4,"",G21-B21)</f>
        <v>0</v>
      </c>
      <c r="G21" s="30">
        <f>IF(COUNT(B21:B24)&lt;4,"",MIN(F22,F23))</f>
        <v>3</v>
      </c>
      <c r="H21" s="30">
        <f>IF(COUNT(B21:B24)&lt;4,"",F21-D21)</f>
        <v>0</v>
      </c>
      <c r="I21" s="30">
        <f>IF(COUNT(B21:B24)&lt;4,"",MIN(D22,D23)-E21)</f>
        <v>0</v>
      </c>
    </row>
    <row r="22" ht="79.5" customHeight="1">
      <c r="A22" s="7" t="s">
        <v>696</v>
      </c>
      <c r="B22" s="27">
        <v>5.0</v>
      </c>
      <c r="C22" s="28" t="s">
        <v>638</v>
      </c>
      <c r="D22" s="30">
        <f>IF(COUNT(B21:B24)&lt;4,"",E21)</f>
        <v>3</v>
      </c>
      <c r="E22" s="30">
        <f>IF(COUNT(B21:B24)&lt;4,"",D22+B22)</f>
        <v>8</v>
      </c>
      <c r="F22" s="30">
        <f>IF(COUNT(B21:B24)&lt;4,"",G22-B22)</f>
        <v>6</v>
      </c>
      <c r="G22" s="30">
        <f>IF(COUNT(B21:B24)&lt;4,"",F24)</f>
        <v>11</v>
      </c>
      <c r="H22" s="30">
        <f>IF(COUNT(B21:B24)&lt;4,"",F22-D22)</f>
        <v>3</v>
      </c>
      <c r="I22" s="30">
        <f>IF(COUNT(B21:B24)&lt;4,"",D24-E22)</f>
        <v>3</v>
      </c>
    </row>
    <row r="23" ht="79.5" customHeight="1">
      <c r="A23" s="7" t="s">
        <v>718</v>
      </c>
      <c r="B23" s="9">
        <v>8.0</v>
      </c>
      <c r="C23" s="28" t="s">
        <v>638</v>
      </c>
      <c r="D23" s="30">
        <f>IF(COUNT(B21:B24)&lt;4,"",E21)</f>
        <v>3</v>
      </c>
      <c r="E23" s="30">
        <f>IF(COUNT(B21:B24)&lt;4,"",D23+B23)</f>
        <v>11</v>
      </c>
      <c r="F23" s="30">
        <f>IF(COUNT(B21:B24)&lt;4,"",G23-B23)</f>
        <v>3</v>
      </c>
      <c r="G23" s="30">
        <f>IF(COUNT(B21:B24)&lt;4,"",F24)</f>
        <v>11</v>
      </c>
      <c r="H23" s="30">
        <f>IF(COUNT(B21:B24)&lt;4,"",F23-D23)</f>
        <v>0</v>
      </c>
      <c r="I23" s="30">
        <f>IF(COUNT(B21:B24)&lt;4,"",D24-E23)</f>
        <v>0</v>
      </c>
    </row>
    <row r="24" ht="79.5" customHeight="1">
      <c r="A24" s="7" t="s">
        <v>748</v>
      </c>
      <c r="B24" s="27">
        <v>10.0</v>
      </c>
      <c r="C24" s="28" t="s">
        <v>749</v>
      </c>
      <c r="D24" s="30">
        <f>IF(COUNT(B21:B24)&lt;4,"",MAX(E22,E23))</f>
        <v>11</v>
      </c>
      <c r="E24" s="30">
        <f>IF(COUNT(B21:B24)&lt;4,"",D24+B24)</f>
        <v>21</v>
      </c>
      <c r="F24" s="30">
        <f>IF(COUNT(B21:B24)&lt;4,"",G24-B24)</f>
        <v>11</v>
      </c>
      <c r="G24" s="30">
        <f>IF(COUNT(B21:B24)&lt;4,"",E24)</f>
        <v>21</v>
      </c>
      <c r="H24" s="30">
        <f>IF(COUNT(B21:B24)&lt;4,"",F24-D24)</f>
        <v>0</v>
      </c>
      <c r="I24" s="29">
        <f>IF(COUNT(B21:B24)&lt;4,"",0)</f>
        <v>0</v>
      </c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</row>
    <row r="27" ht="27.0" customHeight="1">
      <c r="A27" s="4" t="s">
        <v>769</v>
      </c>
      <c r="B27" s="4"/>
      <c r="C27" s="4"/>
      <c r="D27" s="4"/>
      <c r="E27" s="4"/>
      <c r="F27" s="4"/>
      <c r="G27" s="4"/>
      <c r="H27" s="4"/>
      <c r="I27" s="4"/>
    </row>
    <row r="28" ht="48.75" customHeight="1">
      <c r="A28" s="5" t="s">
        <v>471</v>
      </c>
      <c r="B28" s="5" t="s">
        <v>773</v>
      </c>
      <c r="C28" s="5" t="s">
        <v>738</v>
      </c>
      <c r="D28" s="5" t="s">
        <v>775</v>
      </c>
      <c r="E28" s="2"/>
      <c r="F28" s="2"/>
      <c r="G28" s="2"/>
      <c r="H28" s="2"/>
      <c r="I28" s="2"/>
    </row>
    <row r="29" ht="79.5" customHeight="1">
      <c r="A29" s="7" t="s">
        <v>776</v>
      </c>
      <c r="B29" s="16"/>
      <c r="C29" s="30">
        <f>IF(E24="","",E24)</f>
        <v>21</v>
      </c>
      <c r="D29" s="16"/>
      <c r="E29" s="2"/>
      <c r="F29" s="2"/>
      <c r="G29" s="2"/>
      <c r="H29" s="2"/>
      <c r="I29" s="2"/>
    </row>
    <row r="30" ht="79.5" customHeight="1">
      <c r="A30" s="7" t="s">
        <v>778</v>
      </c>
      <c r="B30" s="16"/>
      <c r="C30" s="30">
        <f>IF(COUNT(B21:B24)&lt;4,"",SUM(B21:B24))</f>
        <v>26</v>
      </c>
      <c r="D30" s="16"/>
      <c r="E30" s="2"/>
      <c r="F30" s="2"/>
      <c r="G30" s="2"/>
      <c r="H30" s="2"/>
      <c r="I30" s="2"/>
    </row>
    <row r="31" ht="79.5" customHeight="1">
      <c r="A31" s="7" t="s">
        <v>787</v>
      </c>
      <c r="B31" s="16"/>
      <c r="C31" s="30">
        <f>IF(COUNT(B21:B24)&lt;4,"",B21+B81+MAX(B22,B23)+B24)</f>
        <v>22</v>
      </c>
      <c r="D31" s="16"/>
      <c r="E31" s="2"/>
      <c r="F31" s="2"/>
      <c r="G31" s="2"/>
      <c r="H31" s="2"/>
      <c r="I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</row>
    <row r="34" ht="27.0" customHeight="1">
      <c r="A34" s="4" t="s">
        <v>807</v>
      </c>
      <c r="B34" s="4"/>
      <c r="C34" s="4"/>
      <c r="D34" s="4"/>
      <c r="E34" s="4"/>
      <c r="F34" s="4"/>
      <c r="G34" s="4"/>
      <c r="H34" s="4"/>
      <c r="I34" s="4"/>
    </row>
    <row r="35" ht="48.75" customHeight="1">
      <c r="A35" s="5" t="s">
        <v>810</v>
      </c>
      <c r="B35" s="5" t="s">
        <v>813</v>
      </c>
      <c r="C35" s="5" t="s">
        <v>738</v>
      </c>
      <c r="D35" s="5" t="s">
        <v>815</v>
      </c>
      <c r="E35" s="5" t="s">
        <v>352</v>
      </c>
      <c r="F35" s="2"/>
      <c r="G35" s="2"/>
      <c r="H35" s="2"/>
      <c r="I35" s="2"/>
    </row>
    <row r="36" ht="79.5" customHeight="1">
      <c r="A36" s="7" t="s">
        <v>817</v>
      </c>
      <c r="B36" s="27">
        <v>8.0</v>
      </c>
      <c r="C36" s="30">
        <f>IF(OR(B36="",COUNT(B21:B24)&lt;4),"",B21+MAX(B22,B36)+B24)</f>
        <v>21</v>
      </c>
      <c r="D36" s="32">
        <v>0.0</v>
      </c>
      <c r="E36" s="16"/>
      <c r="F36" s="2"/>
      <c r="G36" s="2"/>
      <c r="H36" s="2"/>
      <c r="I36" s="2"/>
    </row>
    <row r="37" ht="79.5" customHeight="1">
      <c r="A37" s="7" t="s">
        <v>843</v>
      </c>
      <c r="B37" s="27">
        <v>10.0</v>
      </c>
      <c r="C37" s="30">
        <f>IF(OR(B37="",COUNT(B21:B24)&lt;4),"",B21+MAX(B22,B37)+B24)</f>
        <v>23</v>
      </c>
      <c r="D37" s="32">
        <v>0.0</v>
      </c>
      <c r="E37" s="16"/>
      <c r="F37" s="2"/>
      <c r="G37" s="2"/>
      <c r="H37" s="2"/>
      <c r="I37" s="2"/>
    </row>
    <row r="38" ht="79.5" customHeight="1">
      <c r="A38" s="7" t="s">
        <v>870</v>
      </c>
      <c r="B38" s="27">
        <v>7.0</v>
      </c>
      <c r="C38" s="30">
        <f>IF(OR(B38="",COUNT(B21:B24)&lt;4),"",B21+MAX(B22,B38)+B24)</f>
        <v>20</v>
      </c>
      <c r="D38" s="32">
        <v>0.18</v>
      </c>
      <c r="E38" s="16"/>
      <c r="F38" s="2"/>
      <c r="G38" s="2"/>
      <c r="H38" s="2"/>
      <c r="I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</row>
    <row r="41" ht="27.0" customHeight="1">
      <c r="A41" s="4" t="s">
        <v>212</v>
      </c>
      <c r="B41" s="4"/>
      <c r="C41" s="4"/>
      <c r="D41" s="4"/>
      <c r="E41" s="4"/>
      <c r="F41" s="4"/>
      <c r="G41" s="4"/>
      <c r="H41" s="4"/>
      <c r="I41" s="4"/>
    </row>
    <row r="42" ht="22.5" customHeight="1">
      <c r="A42" s="3" t="s">
        <v>906</v>
      </c>
      <c r="B42" s="3"/>
      <c r="C42" s="3"/>
      <c r="D42" s="3"/>
      <c r="E42" s="3"/>
      <c r="F42" s="3"/>
      <c r="G42" s="3"/>
      <c r="H42" s="3"/>
      <c r="I42" s="3"/>
    </row>
    <row r="43" ht="22.5" customHeight="1">
      <c r="A43" s="3" t="s">
        <v>911</v>
      </c>
      <c r="B43" s="3"/>
      <c r="C43" s="3"/>
      <c r="D43" s="3"/>
      <c r="E43" s="3"/>
      <c r="F43" s="3"/>
      <c r="G43" s="3"/>
      <c r="H43" s="3"/>
      <c r="I43" s="3"/>
    </row>
    <row r="44" ht="22.5" customHeight="1">
      <c r="A44" s="3" t="s">
        <v>914</v>
      </c>
      <c r="B44" s="3"/>
      <c r="C44" s="3"/>
      <c r="D44" s="3"/>
      <c r="E44" s="3"/>
      <c r="F44" s="3"/>
      <c r="G44" s="3"/>
      <c r="H44" s="3"/>
      <c r="I44" s="3"/>
    </row>
    <row r="45" ht="22.5" customHeight="1">
      <c r="A45" s="3" t="s">
        <v>921</v>
      </c>
      <c r="B45" s="3"/>
      <c r="C45" s="3"/>
      <c r="D45" s="3"/>
      <c r="E45" s="3"/>
      <c r="F45" s="3"/>
      <c r="G45" s="3"/>
      <c r="H45" s="3"/>
      <c r="I45" s="3"/>
    </row>
    <row r="46" ht="22.5" customHeight="1">
      <c r="A46" s="3" t="s">
        <v>924</v>
      </c>
      <c r="B46" s="3"/>
      <c r="C46" s="3"/>
      <c r="D46" s="3"/>
      <c r="E46" s="3"/>
      <c r="F46" s="3"/>
      <c r="G46" s="3"/>
      <c r="H46" s="3"/>
      <c r="I46" s="3"/>
    </row>
    <row r="47" ht="22.5" customHeight="1">
      <c r="A47" s="3" t="s">
        <v>926</v>
      </c>
      <c r="B47" s="3"/>
      <c r="C47" s="3"/>
      <c r="D47" s="3"/>
      <c r="E47" s="3"/>
      <c r="F47" s="3"/>
      <c r="G47" s="3"/>
      <c r="H47" s="3"/>
      <c r="I47" s="3"/>
    </row>
    <row r="48" ht="22.5" customHeight="1">
      <c r="A48" s="3" t="s">
        <v>928</v>
      </c>
      <c r="B48" s="3"/>
      <c r="C48" s="3"/>
      <c r="D48" s="3"/>
      <c r="E48" s="3"/>
      <c r="F48" s="3"/>
      <c r="G48" s="3"/>
      <c r="H48" s="3"/>
      <c r="I48" s="3"/>
    </row>
    <row r="49" ht="22.5" customHeight="1">
      <c r="A49" s="3" t="s">
        <v>930</v>
      </c>
      <c r="B49" s="3"/>
      <c r="C49" s="3"/>
      <c r="D49" s="3"/>
      <c r="E49" s="3"/>
      <c r="F49" s="3"/>
      <c r="G49" s="3"/>
      <c r="H49" s="3"/>
      <c r="I49" s="3"/>
    </row>
    <row r="50" ht="22.5" customHeight="1">
      <c r="A50" s="3" t="s">
        <v>932</v>
      </c>
      <c r="B50" s="3"/>
      <c r="C50" s="3"/>
      <c r="D50" s="3"/>
      <c r="E50" s="3"/>
      <c r="F50" s="3"/>
      <c r="G50" s="3"/>
      <c r="H50" s="3"/>
      <c r="I50" s="3"/>
    </row>
    <row r="51" ht="22.5" customHeight="1">
      <c r="A51" s="3" t="s">
        <v>933</v>
      </c>
      <c r="B51" s="3"/>
      <c r="C51" s="3"/>
      <c r="D51" s="3"/>
      <c r="E51" s="3"/>
      <c r="F51" s="3"/>
      <c r="G51" s="3"/>
      <c r="H51" s="3"/>
      <c r="I51" s="3"/>
    </row>
    <row r="52" ht="22.5" customHeight="1">
      <c r="A52" s="3" t="s">
        <v>934</v>
      </c>
      <c r="B52" s="3"/>
      <c r="C52" s="3"/>
      <c r="D52" s="3"/>
      <c r="E52" s="3"/>
      <c r="F52" s="3"/>
      <c r="G52" s="3"/>
      <c r="H52" s="3"/>
      <c r="I52" s="3"/>
    </row>
    <row r="53" ht="22.5" customHeight="1">
      <c r="A53" s="3" t="s">
        <v>935</v>
      </c>
      <c r="B53" s="3"/>
      <c r="C53" s="3"/>
      <c r="D53" s="3"/>
      <c r="E53" s="3"/>
      <c r="F53" s="3"/>
      <c r="G53" s="3"/>
      <c r="H53" s="3"/>
      <c r="I53" s="3"/>
    </row>
    <row r="54" ht="22.5" customHeight="1">
      <c r="A54" s="3" t="s">
        <v>936</v>
      </c>
      <c r="B54" s="3"/>
      <c r="C54" s="3"/>
      <c r="D54" s="3"/>
      <c r="E54" s="3"/>
      <c r="F54" s="3"/>
      <c r="G54" s="3"/>
      <c r="H54" s="3"/>
      <c r="I54" s="3"/>
    </row>
    <row r="55" ht="22.5" customHeight="1">
      <c r="A55" s="3" t="s">
        <v>937</v>
      </c>
      <c r="B55" s="3"/>
      <c r="C55" s="3"/>
      <c r="D55" s="3"/>
      <c r="E55" s="3"/>
      <c r="F55" s="3"/>
      <c r="G55" s="3"/>
      <c r="H55" s="3"/>
      <c r="I55" s="3"/>
    </row>
    <row r="56" ht="22.5" customHeight="1">
      <c r="A56" s="3" t="s">
        <v>940</v>
      </c>
      <c r="B56" s="3"/>
      <c r="C56" s="3"/>
      <c r="D56" s="3"/>
      <c r="E56" s="3"/>
      <c r="F56" s="3"/>
      <c r="G56" s="3"/>
      <c r="H56" s="3"/>
      <c r="I56" s="3"/>
    </row>
    <row r="57" ht="27.0" customHeight="1">
      <c r="A57" s="4" t="s">
        <v>392</v>
      </c>
      <c r="B57" s="4"/>
      <c r="C57" s="4"/>
      <c r="D57" s="4"/>
      <c r="E57" s="4"/>
      <c r="F57" s="4"/>
      <c r="G57" s="4"/>
      <c r="H57" s="4"/>
      <c r="I57" s="4"/>
    </row>
    <row r="58" ht="22.5" customHeight="1">
      <c r="A58" s="10" t="s">
        <v>943</v>
      </c>
      <c r="B58" s="10"/>
      <c r="C58" s="10"/>
      <c r="D58" s="10"/>
      <c r="E58" s="10"/>
      <c r="F58" s="10"/>
      <c r="G58" s="10"/>
      <c r="H58" s="10"/>
      <c r="I58" s="10"/>
    </row>
    <row r="59" ht="22.5" customHeight="1">
      <c r="A59" s="3" t="s">
        <v>945</v>
      </c>
      <c r="B59" s="3"/>
      <c r="C59" s="3"/>
      <c r="D59" s="3"/>
      <c r="E59" s="3"/>
      <c r="F59" s="3"/>
      <c r="G59" s="3"/>
      <c r="H59" s="3"/>
      <c r="I59" s="3"/>
    </row>
    <row r="60" ht="22.5" customHeight="1">
      <c r="A60" s="3" t="s">
        <v>948</v>
      </c>
      <c r="B60" s="3"/>
      <c r="C60" s="3"/>
      <c r="D60" s="3"/>
      <c r="E60" s="3"/>
      <c r="F60" s="3"/>
      <c r="G60" s="3"/>
      <c r="H60" s="3"/>
      <c r="I60" s="3"/>
    </row>
    <row r="61" ht="22.5" customHeight="1">
      <c r="A61" s="3" t="s">
        <v>953</v>
      </c>
      <c r="B61" s="3"/>
      <c r="C61" s="3"/>
      <c r="D61" s="3"/>
      <c r="E61" s="3"/>
      <c r="F61" s="3"/>
      <c r="G61" s="3"/>
      <c r="H61" s="3"/>
      <c r="I61" s="3"/>
    </row>
    <row r="62" ht="22.5" customHeight="1">
      <c r="A62" s="3" t="s">
        <v>955</v>
      </c>
      <c r="B62" s="3"/>
      <c r="C62" s="3"/>
      <c r="D62" s="3"/>
      <c r="E62" s="3"/>
      <c r="F62" s="3"/>
      <c r="G62" s="3"/>
      <c r="H62" s="3"/>
      <c r="I62" s="3"/>
    </row>
    <row r="63" ht="22.5" customHeight="1">
      <c r="A63" s="3" t="s">
        <v>956</v>
      </c>
      <c r="B63" s="3"/>
      <c r="C63" s="3"/>
      <c r="D63" s="3"/>
      <c r="E63" s="3"/>
      <c r="F63" s="3"/>
      <c r="G63" s="3"/>
      <c r="H63" s="3"/>
      <c r="I63" s="3"/>
    </row>
    <row r="64" ht="22.5" customHeight="1">
      <c r="A64" s="3" t="s">
        <v>958</v>
      </c>
      <c r="B64" s="3"/>
      <c r="C64" s="3"/>
      <c r="D64" s="3"/>
      <c r="E64" s="3"/>
      <c r="F64" s="3"/>
      <c r="G64" s="3"/>
      <c r="H64" s="3"/>
      <c r="I64" s="3"/>
    </row>
    <row r="65" ht="22.5" customHeight="1">
      <c r="A65" s="3" t="s">
        <v>962</v>
      </c>
      <c r="B65" s="3"/>
      <c r="C65" s="3"/>
      <c r="D65" s="3"/>
      <c r="E65" s="3"/>
      <c r="F65" s="3"/>
      <c r="G65" s="3"/>
      <c r="H65" s="3"/>
      <c r="I65" s="3"/>
    </row>
    <row r="66" ht="22.5" customHeight="1">
      <c r="A66" s="3" t="s">
        <v>963</v>
      </c>
      <c r="B66" s="3"/>
      <c r="C66" s="3"/>
      <c r="D66" s="3"/>
      <c r="E66" s="3"/>
      <c r="F66" s="3"/>
      <c r="G66" s="3"/>
      <c r="H66" s="3"/>
      <c r="I66" s="3"/>
    </row>
    <row r="67" ht="22.5" customHeight="1">
      <c r="A67" s="3" t="s">
        <v>964</v>
      </c>
      <c r="B67" s="3"/>
      <c r="C67" s="3"/>
      <c r="D67" s="3"/>
      <c r="E67" s="3"/>
      <c r="F67" s="3"/>
      <c r="G67" s="3"/>
      <c r="H67" s="3"/>
      <c r="I67" s="3"/>
    </row>
    <row r="68" ht="22.5" customHeight="1">
      <c r="A68" s="3" t="s">
        <v>965</v>
      </c>
      <c r="B68" s="3"/>
      <c r="C68" s="3"/>
      <c r="D68" s="3"/>
      <c r="E68" s="3"/>
      <c r="F68" s="3"/>
      <c r="G68" s="3"/>
      <c r="H68" s="3"/>
      <c r="I68" s="3"/>
    </row>
    <row r="69" ht="27.0" customHeight="1">
      <c r="A69" s="4" t="s">
        <v>967</v>
      </c>
      <c r="B69" s="4"/>
      <c r="C69" s="4"/>
      <c r="D69" s="4"/>
      <c r="E69" s="4"/>
      <c r="F69" s="4"/>
      <c r="G69" s="4"/>
      <c r="H69" s="4"/>
      <c r="I69" s="4"/>
    </row>
    <row r="70" ht="48.75" customHeight="1">
      <c r="A70" s="5" t="s">
        <v>472</v>
      </c>
      <c r="B70" s="5" t="s">
        <v>492</v>
      </c>
      <c r="C70" s="2"/>
      <c r="D70" s="2"/>
      <c r="E70" s="2"/>
      <c r="F70" s="2"/>
      <c r="G70" s="2"/>
      <c r="H70" s="2"/>
      <c r="I70" s="2"/>
    </row>
    <row r="71" ht="37.5" customHeight="1">
      <c r="A71" s="15" t="s">
        <v>638</v>
      </c>
      <c r="B71" s="15" t="s">
        <v>970</v>
      </c>
      <c r="C71" s="2"/>
      <c r="D71" s="2"/>
      <c r="E71" s="2"/>
      <c r="F71" s="2"/>
      <c r="G71" s="2"/>
      <c r="H71" s="2"/>
      <c r="I71" s="2"/>
    </row>
    <row r="72" ht="37.5" customHeight="1">
      <c r="A72" s="15" t="s">
        <v>696</v>
      </c>
      <c r="B72" s="15" t="s">
        <v>351</v>
      </c>
      <c r="C72" s="2"/>
      <c r="D72" s="2"/>
      <c r="E72" s="2"/>
      <c r="F72" s="2"/>
      <c r="G72" s="2"/>
      <c r="H72" s="2"/>
      <c r="I72" s="2"/>
    </row>
    <row r="73" ht="72.0" customHeight="1">
      <c r="A73" s="15" t="s">
        <v>718</v>
      </c>
      <c r="B73" s="15" t="s">
        <v>974</v>
      </c>
      <c r="C73" s="2"/>
      <c r="D73" s="2"/>
      <c r="E73" s="2"/>
      <c r="F73" s="2"/>
      <c r="G73" s="2"/>
      <c r="H73" s="2"/>
      <c r="I73" s="2"/>
    </row>
    <row r="74" ht="57.0" customHeight="1">
      <c r="A74" s="15" t="s">
        <v>748</v>
      </c>
      <c r="B74" s="15" t="s">
        <v>977</v>
      </c>
      <c r="C74" s="2"/>
      <c r="D74" s="2"/>
      <c r="E74" s="2"/>
      <c r="F74" s="2"/>
      <c r="G74" s="2"/>
      <c r="H74" s="2"/>
      <c r="I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</row>
    <row r="77" ht="22.5" customHeight="1">
      <c r="A77" s="3" t="s">
        <v>710</v>
      </c>
      <c r="B77" s="3"/>
      <c r="C77" s="3"/>
      <c r="D77" s="3"/>
      <c r="E77" s="3"/>
      <c r="F77" s="3"/>
      <c r="G77" s="3"/>
      <c r="H77" s="3"/>
      <c r="I77" s="3"/>
    </row>
    <row r="78" ht="22.5" customHeight="1">
      <c r="A78" s="3" t="s">
        <v>711</v>
      </c>
      <c r="B78" s="3"/>
      <c r="C78" s="3"/>
      <c r="D78" s="3"/>
      <c r="E78" s="3"/>
      <c r="F78" s="3"/>
      <c r="G78" s="3"/>
      <c r="H78" s="3"/>
      <c r="I78" s="3"/>
    </row>
    <row r="79" ht="27.0" customHeight="1">
      <c r="A79" s="4" t="s">
        <v>989</v>
      </c>
      <c r="B79" s="4"/>
      <c r="C79" s="4"/>
      <c r="D79" s="4"/>
      <c r="E79" s="4"/>
      <c r="F79" s="4"/>
      <c r="G79" s="4"/>
      <c r="H79" s="4"/>
      <c r="I79" s="4"/>
    </row>
    <row r="80" ht="48.75" customHeight="1">
      <c r="A80" s="5" t="s">
        <v>410</v>
      </c>
      <c r="B80" s="5" t="s">
        <v>411</v>
      </c>
      <c r="C80" s="2"/>
      <c r="D80" s="2"/>
      <c r="E80" s="2"/>
      <c r="F80" s="2"/>
      <c r="G80" s="2"/>
      <c r="H80" s="2"/>
      <c r="I80" s="2"/>
    </row>
    <row r="81" ht="42.0" customHeight="1">
      <c r="A81" s="15" t="s">
        <v>995</v>
      </c>
      <c r="B81" s="27">
        <v>1.0</v>
      </c>
      <c r="C81" s="2"/>
      <c r="D81" s="2"/>
      <c r="E81" s="2"/>
      <c r="F81" s="2"/>
      <c r="G81" s="2"/>
      <c r="H81" s="2"/>
      <c r="I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</row>
    <row r="84" ht="22.5" customHeight="1">
      <c r="A84" s="3" t="s">
        <v>1006</v>
      </c>
      <c r="B84" s="3"/>
      <c r="C84" s="3"/>
      <c r="D84" s="3"/>
      <c r="E84" s="3"/>
      <c r="F84" s="3"/>
      <c r="G84" s="3"/>
      <c r="H84" s="3"/>
      <c r="I84" s="3"/>
    </row>
    <row r="85" ht="22.5" customHeight="1">
      <c r="A85" s="3" t="s">
        <v>1007</v>
      </c>
      <c r="B85" s="3"/>
      <c r="C85" s="3"/>
      <c r="D85" s="3"/>
      <c r="E85" s="3"/>
      <c r="F85" s="3"/>
      <c r="G85" s="3"/>
      <c r="H85" s="3"/>
      <c r="I85" s="3"/>
    </row>
    <row r="86" ht="22.5" customHeight="1">
      <c r="A86" s="3" t="s">
        <v>1011</v>
      </c>
      <c r="B86" s="3"/>
      <c r="C86" s="3"/>
      <c r="D86" s="3"/>
      <c r="E86" s="3"/>
      <c r="F86" s="3"/>
      <c r="G86" s="3"/>
      <c r="H86" s="3"/>
      <c r="I86" s="3"/>
    </row>
    <row r="87" ht="22.5" customHeight="1">
      <c r="A87" s="3" t="s">
        <v>1013</v>
      </c>
      <c r="B87" s="3"/>
      <c r="C87" s="3"/>
      <c r="D87" s="3"/>
      <c r="E87" s="3"/>
      <c r="F87" s="3"/>
      <c r="G87" s="3"/>
      <c r="H87" s="3"/>
      <c r="I87" s="3"/>
    </row>
    <row r="88" ht="22.5" customHeight="1">
      <c r="A88" s="3" t="s">
        <v>1017</v>
      </c>
      <c r="B88" s="3"/>
      <c r="C88" s="3"/>
      <c r="D88" s="3"/>
      <c r="E88" s="3"/>
      <c r="F88" s="3"/>
      <c r="G88" s="3"/>
      <c r="H88" s="3"/>
      <c r="I88" s="3"/>
    </row>
    <row r="89" ht="22.5" customHeight="1">
      <c r="A89" s="3" t="s">
        <v>269</v>
      </c>
      <c r="B89" s="3"/>
      <c r="C89" s="3"/>
      <c r="D89" s="3"/>
      <c r="E89" s="3"/>
      <c r="F89" s="3"/>
      <c r="G89" s="3"/>
      <c r="H89" s="3"/>
      <c r="I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</row>
    <row r="91" ht="21.75" customHeight="1">
      <c r="A91" s="6" t="s">
        <v>266</v>
      </c>
      <c r="B91" s="2"/>
      <c r="C91" s="2"/>
      <c r="D91" s="2"/>
      <c r="E91" s="2"/>
      <c r="F91" s="2"/>
      <c r="G91" s="2"/>
      <c r="H91" s="2"/>
      <c r="I91" s="2"/>
    </row>
    <row r="92" ht="22.5" customHeight="1">
      <c r="A92" s="3" t="s">
        <v>1018</v>
      </c>
      <c r="B92" s="3"/>
      <c r="C92" s="3"/>
      <c r="D92" s="3"/>
      <c r="E92" s="3"/>
      <c r="F92" s="3"/>
      <c r="G92" s="3"/>
      <c r="H92" s="3"/>
      <c r="I92" s="3"/>
    </row>
    <row r="93" ht="22.5" customHeight="1">
      <c r="A93" s="3" t="s">
        <v>1020</v>
      </c>
      <c r="B93" s="3"/>
      <c r="C93" s="3"/>
      <c r="D93" s="3"/>
      <c r="E93" s="3"/>
      <c r="F93" s="3"/>
      <c r="G93" s="3"/>
      <c r="H93" s="3"/>
      <c r="I93" s="3"/>
    </row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5_Содержание'!A1" ref="A9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4.0"/>
    <col customWidth="1" min="2" max="2" width="16.0"/>
    <col customWidth="1" min="3" max="3" width="17.0"/>
    <col customWidth="1" min="4" max="4" width="22.0"/>
    <col customWidth="1" min="5" max="6" width="16.0"/>
    <col customWidth="1" min="7" max="7" width="22.0"/>
    <col customWidth="1" min="8" max="26" width="8.63"/>
  </cols>
  <sheetData>
    <row r="1" ht="28.5" customHeight="1">
      <c r="A1" s="1" t="s">
        <v>586</v>
      </c>
      <c r="B1" s="1"/>
      <c r="C1" s="1"/>
      <c r="D1" s="1"/>
      <c r="E1" s="1"/>
      <c r="F1" s="1"/>
      <c r="G1" s="1"/>
    </row>
    <row r="2" ht="21.75" customHeight="1">
      <c r="A2" s="2"/>
      <c r="B2" s="2"/>
      <c r="C2" s="2"/>
      <c r="D2" s="2"/>
      <c r="E2" s="2"/>
      <c r="F2" s="2"/>
      <c r="G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  <c r="G3" s="2"/>
    </row>
    <row r="4" ht="21.75" customHeight="1">
      <c r="A4" s="2"/>
      <c r="B4" s="2"/>
      <c r="C4" s="2"/>
      <c r="D4" s="2"/>
      <c r="E4" s="2"/>
      <c r="F4" s="2"/>
      <c r="G4" s="2"/>
    </row>
    <row r="5" ht="22.5" customHeight="1">
      <c r="A5" s="10" t="s">
        <v>599</v>
      </c>
      <c r="B5" s="10"/>
      <c r="C5" s="10"/>
      <c r="D5" s="10"/>
      <c r="E5" s="10"/>
      <c r="F5" s="10"/>
      <c r="G5" s="10"/>
    </row>
    <row r="6" ht="22.5" customHeight="1">
      <c r="A6" s="3" t="s">
        <v>601</v>
      </c>
      <c r="B6" s="3"/>
      <c r="C6" s="3"/>
      <c r="D6" s="3"/>
      <c r="E6" s="3"/>
      <c r="F6" s="3"/>
      <c r="G6" s="3"/>
    </row>
    <row r="7" ht="22.5" customHeight="1">
      <c r="A7" s="3" t="s">
        <v>603</v>
      </c>
      <c r="B7" s="3"/>
      <c r="C7" s="3"/>
      <c r="D7" s="3"/>
      <c r="E7" s="3"/>
      <c r="F7" s="3"/>
      <c r="G7" s="3"/>
    </row>
    <row r="8" ht="22.5" customHeight="1">
      <c r="A8" s="3" t="s">
        <v>605</v>
      </c>
      <c r="B8" s="3"/>
      <c r="C8" s="3"/>
      <c r="D8" s="3"/>
      <c r="E8" s="3"/>
      <c r="F8" s="3"/>
      <c r="G8" s="3"/>
    </row>
    <row r="9" ht="22.5" customHeight="1">
      <c r="A9" s="3" t="s">
        <v>607</v>
      </c>
      <c r="B9" s="3"/>
      <c r="C9" s="3"/>
      <c r="D9" s="3"/>
      <c r="E9" s="3"/>
      <c r="F9" s="3"/>
      <c r="G9" s="3"/>
    </row>
    <row r="10" ht="22.5" customHeight="1">
      <c r="A10" s="3" t="s">
        <v>609</v>
      </c>
      <c r="B10" s="3"/>
      <c r="C10" s="3"/>
      <c r="D10" s="3"/>
      <c r="E10" s="3"/>
      <c r="F10" s="3"/>
      <c r="G10" s="3"/>
    </row>
    <row r="11" ht="22.5" customHeight="1">
      <c r="A11" s="3" t="s">
        <v>611</v>
      </c>
      <c r="B11" s="3"/>
      <c r="C11" s="3"/>
      <c r="D11" s="3"/>
      <c r="E11" s="3"/>
      <c r="F11" s="3"/>
      <c r="G11" s="3"/>
    </row>
    <row r="12" ht="22.5" customHeight="1">
      <c r="A12" s="3" t="s">
        <v>613</v>
      </c>
      <c r="B12" s="3"/>
      <c r="C12" s="3"/>
      <c r="D12" s="3"/>
      <c r="E12" s="3"/>
      <c r="F12" s="3"/>
      <c r="G12" s="3"/>
    </row>
    <row r="13" ht="22.5" customHeight="1">
      <c r="A13" s="3" t="s">
        <v>615</v>
      </c>
      <c r="B13" s="3"/>
      <c r="C13" s="3"/>
      <c r="D13" s="3"/>
      <c r="E13" s="3"/>
      <c r="F13" s="3"/>
      <c r="G13" s="3"/>
    </row>
    <row r="14" ht="22.5" customHeight="1">
      <c r="A14" s="3" t="s">
        <v>617</v>
      </c>
      <c r="B14" s="3"/>
      <c r="C14" s="3"/>
      <c r="D14" s="3"/>
      <c r="E14" s="3"/>
      <c r="F14" s="3"/>
      <c r="G14" s="3"/>
    </row>
    <row r="15" ht="22.5" customHeight="1">
      <c r="A15" s="3" t="s">
        <v>619</v>
      </c>
      <c r="B15" s="3"/>
      <c r="C15" s="3"/>
      <c r="D15" s="3"/>
      <c r="E15" s="3"/>
      <c r="F15" s="3"/>
      <c r="G15" s="3"/>
    </row>
    <row r="16" ht="22.5" customHeight="1">
      <c r="A16" s="3" t="s">
        <v>56</v>
      </c>
      <c r="B16" s="3"/>
      <c r="C16" s="3"/>
      <c r="D16" s="3"/>
      <c r="E16" s="3"/>
      <c r="F16" s="3"/>
      <c r="G16" s="3"/>
    </row>
    <row r="17" ht="27.0" customHeight="1">
      <c r="A17" s="4" t="s">
        <v>621</v>
      </c>
      <c r="B17" s="4"/>
      <c r="C17" s="4"/>
      <c r="D17" s="4"/>
      <c r="E17" s="4"/>
      <c r="F17" s="4"/>
      <c r="G17" s="4"/>
    </row>
    <row r="18" ht="48.75" customHeight="1">
      <c r="A18" s="5" t="s">
        <v>489</v>
      </c>
      <c r="B18" s="5" t="s">
        <v>85</v>
      </c>
      <c r="C18" s="5" t="s">
        <v>624</v>
      </c>
      <c r="D18" s="5" t="s">
        <v>94</v>
      </c>
      <c r="E18" s="5" t="s">
        <v>625</v>
      </c>
      <c r="F18" s="5" t="s">
        <v>371</v>
      </c>
      <c r="G18" s="5" t="s">
        <v>106</v>
      </c>
    </row>
    <row r="19" ht="79.5" customHeight="1">
      <c r="A19" s="7" t="s">
        <v>627</v>
      </c>
      <c r="B19" s="16"/>
      <c r="C19" s="16"/>
      <c r="D19" s="16"/>
      <c r="E19" s="16"/>
      <c r="F19" s="16"/>
      <c r="G19" s="16"/>
    </row>
    <row r="20" ht="79.5" customHeight="1">
      <c r="A20" s="7" t="s">
        <v>630</v>
      </c>
      <c r="B20" s="16"/>
      <c r="C20" s="16"/>
      <c r="D20" s="16"/>
      <c r="E20" s="16"/>
      <c r="F20" s="16"/>
      <c r="G20" s="16"/>
    </row>
    <row r="21" ht="79.5" customHeight="1">
      <c r="A21" s="7" t="s">
        <v>637</v>
      </c>
      <c r="B21" s="16"/>
      <c r="C21" s="16"/>
      <c r="D21" s="16"/>
      <c r="E21" s="16"/>
      <c r="F21" s="16"/>
      <c r="G21" s="16"/>
    </row>
    <row r="22" ht="79.5" customHeight="1">
      <c r="A22" s="7" t="s">
        <v>639</v>
      </c>
      <c r="B22" s="16"/>
      <c r="C22" s="16"/>
      <c r="D22" s="16"/>
      <c r="E22" s="16"/>
      <c r="F22" s="16"/>
      <c r="G22" s="16"/>
    </row>
    <row r="23" ht="79.5" customHeight="1">
      <c r="A23" s="7" t="s">
        <v>640</v>
      </c>
      <c r="B23" s="16"/>
      <c r="C23" s="16"/>
      <c r="D23" s="16"/>
      <c r="E23" s="16"/>
      <c r="F23" s="16"/>
      <c r="G23" s="16"/>
    </row>
    <row r="24" ht="79.5" customHeight="1">
      <c r="A24" s="7" t="s">
        <v>642</v>
      </c>
      <c r="B24" s="16"/>
      <c r="C24" s="16"/>
      <c r="D24" s="16"/>
      <c r="E24" s="16"/>
      <c r="F24" s="16"/>
      <c r="G24" s="16"/>
    </row>
    <row r="25" ht="21.75" customHeight="1">
      <c r="A25" s="2"/>
      <c r="B25" s="2"/>
      <c r="C25" s="2"/>
      <c r="D25" s="2"/>
      <c r="E25" s="2"/>
      <c r="F25" s="2"/>
      <c r="G25" s="2"/>
    </row>
    <row r="26" ht="21.75" customHeight="1">
      <c r="A26" s="2"/>
      <c r="B26" s="2"/>
      <c r="C26" s="2"/>
      <c r="D26" s="2"/>
      <c r="E26" s="2"/>
      <c r="F26" s="2"/>
      <c r="G26" s="2"/>
    </row>
    <row r="27" ht="27.0" customHeight="1">
      <c r="A27" s="4" t="s">
        <v>643</v>
      </c>
      <c r="B27" s="4"/>
      <c r="C27" s="4"/>
      <c r="D27" s="4"/>
      <c r="E27" s="4"/>
      <c r="F27" s="4"/>
      <c r="G27" s="4"/>
    </row>
    <row r="28" ht="48.75" customHeight="1">
      <c r="A28" s="5" t="s">
        <v>644</v>
      </c>
      <c r="B28" s="5" t="s">
        <v>645</v>
      </c>
      <c r="C28" s="5" t="s">
        <v>646</v>
      </c>
      <c r="D28" s="2"/>
      <c r="E28" s="2"/>
      <c r="F28" s="2"/>
      <c r="G28" s="2"/>
    </row>
    <row r="29" ht="79.5" customHeight="1">
      <c r="A29" s="7" t="s">
        <v>647</v>
      </c>
      <c r="B29" s="16"/>
      <c r="C29" s="16"/>
      <c r="D29" s="2"/>
      <c r="E29" s="2"/>
      <c r="F29" s="2"/>
      <c r="G29" s="2"/>
    </row>
    <row r="30" ht="79.5" customHeight="1">
      <c r="A30" s="7" t="s">
        <v>648</v>
      </c>
      <c r="B30" s="16"/>
      <c r="C30" s="16"/>
      <c r="D30" s="2"/>
      <c r="E30" s="2"/>
      <c r="F30" s="2"/>
      <c r="G30" s="2"/>
    </row>
    <row r="31" ht="79.5" customHeight="1">
      <c r="A31" s="7" t="s">
        <v>649</v>
      </c>
      <c r="B31" s="16"/>
      <c r="C31" s="16"/>
      <c r="D31" s="2"/>
      <c r="E31" s="2"/>
      <c r="F31" s="2"/>
      <c r="G31" s="2"/>
    </row>
    <row r="32" ht="79.5" customHeight="1">
      <c r="A32" s="7" t="s">
        <v>650</v>
      </c>
      <c r="B32" s="16"/>
      <c r="C32" s="16"/>
      <c r="D32" s="2"/>
      <c r="E32" s="2"/>
      <c r="F32" s="2"/>
      <c r="G32" s="2"/>
    </row>
    <row r="33" ht="79.5" customHeight="1">
      <c r="A33" s="7" t="s">
        <v>651</v>
      </c>
      <c r="B33" s="16"/>
      <c r="C33" s="16"/>
      <c r="D33" s="2"/>
      <c r="E33" s="2"/>
      <c r="F33" s="2"/>
      <c r="G33" s="2"/>
    </row>
    <row r="34" ht="21.75" customHeight="1">
      <c r="A34" s="2"/>
      <c r="B34" s="2"/>
      <c r="C34" s="2"/>
      <c r="D34" s="2"/>
      <c r="E34" s="2"/>
      <c r="F34" s="2"/>
      <c r="G34" s="2"/>
    </row>
    <row r="35" ht="21.75" customHeight="1">
      <c r="A35" s="2"/>
      <c r="B35" s="2"/>
      <c r="C35" s="2"/>
      <c r="D35" s="2"/>
      <c r="E35" s="2"/>
      <c r="F35" s="2"/>
      <c r="G35" s="2"/>
    </row>
    <row r="36" ht="27.0" customHeight="1">
      <c r="A36" s="4" t="s">
        <v>652</v>
      </c>
      <c r="B36" s="4"/>
      <c r="C36" s="4"/>
      <c r="D36" s="4"/>
      <c r="E36" s="4"/>
      <c r="F36" s="4"/>
      <c r="G36" s="4"/>
    </row>
    <row r="37" ht="48.75" customHeight="1">
      <c r="A37" s="5" t="s">
        <v>653</v>
      </c>
      <c r="B37" s="5" t="s">
        <v>654</v>
      </c>
      <c r="C37" s="5" t="s">
        <v>655</v>
      </c>
      <c r="D37" s="5" t="s">
        <v>656</v>
      </c>
      <c r="E37" s="2"/>
      <c r="F37" s="2"/>
      <c r="G37" s="2"/>
    </row>
    <row r="38" ht="79.5" customHeight="1">
      <c r="A38" s="16"/>
      <c r="B38" s="16"/>
      <c r="C38" s="16"/>
      <c r="D38" s="16"/>
      <c r="E38" s="2"/>
      <c r="F38" s="2"/>
      <c r="G38" s="2"/>
    </row>
    <row r="39" ht="21.75" customHeight="1">
      <c r="A39" s="2"/>
      <c r="B39" s="2"/>
      <c r="C39" s="2"/>
      <c r="D39" s="2"/>
      <c r="E39" s="2"/>
      <c r="F39" s="2"/>
      <c r="G39" s="2"/>
    </row>
    <row r="40" ht="21.75" customHeight="1">
      <c r="A40" s="2"/>
      <c r="B40" s="2"/>
      <c r="C40" s="2"/>
      <c r="D40" s="2"/>
      <c r="E40" s="2"/>
      <c r="F40" s="2"/>
      <c r="G40" s="2"/>
    </row>
    <row r="41" ht="27.0" customHeight="1">
      <c r="A41" s="4" t="s">
        <v>212</v>
      </c>
      <c r="B41" s="4"/>
      <c r="C41" s="4"/>
      <c r="D41" s="4"/>
      <c r="E41" s="4"/>
      <c r="F41" s="4"/>
      <c r="G41" s="4"/>
    </row>
    <row r="42" ht="22.5" customHeight="1">
      <c r="A42" s="3" t="s">
        <v>657</v>
      </c>
      <c r="B42" s="3"/>
      <c r="C42" s="3"/>
      <c r="D42" s="3"/>
      <c r="E42" s="3"/>
      <c r="F42" s="3"/>
      <c r="G42" s="3"/>
    </row>
    <row r="43" ht="22.5" customHeight="1">
      <c r="A43" s="3" t="s">
        <v>658</v>
      </c>
      <c r="B43" s="3"/>
      <c r="C43" s="3"/>
      <c r="D43" s="3"/>
      <c r="E43" s="3"/>
      <c r="F43" s="3"/>
      <c r="G43" s="3"/>
    </row>
    <row r="44" ht="22.5" customHeight="1">
      <c r="A44" s="3" t="s">
        <v>660</v>
      </c>
      <c r="B44" s="3"/>
      <c r="C44" s="3"/>
      <c r="D44" s="3"/>
      <c r="E44" s="3"/>
      <c r="F44" s="3"/>
      <c r="G44" s="3"/>
    </row>
    <row r="45" ht="22.5" customHeight="1">
      <c r="A45" s="3" t="s">
        <v>661</v>
      </c>
      <c r="B45" s="3"/>
      <c r="C45" s="3"/>
      <c r="D45" s="3"/>
      <c r="E45" s="3"/>
      <c r="F45" s="3"/>
      <c r="G45" s="3"/>
    </row>
    <row r="46" ht="22.5" customHeight="1">
      <c r="A46" s="3" t="s">
        <v>662</v>
      </c>
      <c r="B46" s="3"/>
      <c r="C46" s="3"/>
      <c r="D46" s="3"/>
      <c r="E46" s="3"/>
      <c r="F46" s="3"/>
      <c r="G46" s="3"/>
    </row>
    <row r="47" ht="22.5" customHeight="1">
      <c r="A47" s="3" t="s">
        <v>663</v>
      </c>
      <c r="B47" s="3"/>
      <c r="C47" s="3"/>
      <c r="D47" s="3"/>
      <c r="E47" s="3"/>
      <c r="F47" s="3"/>
      <c r="G47" s="3"/>
    </row>
    <row r="48" ht="22.5" customHeight="1">
      <c r="A48" s="3" t="s">
        <v>664</v>
      </c>
      <c r="B48" s="3"/>
      <c r="C48" s="3"/>
      <c r="D48" s="3"/>
      <c r="E48" s="3"/>
      <c r="F48" s="3"/>
      <c r="G48" s="3"/>
    </row>
    <row r="49" ht="22.5" customHeight="1">
      <c r="A49" s="3" t="s">
        <v>665</v>
      </c>
      <c r="B49" s="3"/>
      <c r="C49" s="3"/>
      <c r="D49" s="3"/>
      <c r="E49" s="3"/>
      <c r="F49" s="3"/>
      <c r="G49" s="3"/>
    </row>
    <row r="50" ht="22.5" customHeight="1">
      <c r="A50" s="3" t="s">
        <v>666</v>
      </c>
      <c r="B50" s="3"/>
      <c r="C50" s="3"/>
      <c r="D50" s="3"/>
      <c r="E50" s="3"/>
      <c r="F50" s="3"/>
      <c r="G50" s="3"/>
    </row>
    <row r="51" ht="22.5" customHeight="1">
      <c r="A51" s="3" t="s">
        <v>667</v>
      </c>
      <c r="B51" s="3"/>
      <c r="C51" s="3"/>
      <c r="D51" s="3"/>
      <c r="E51" s="3"/>
      <c r="F51" s="3"/>
      <c r="G51" s="3"/>
    </row>
    <row r="52" ht="22.5" customHeight="1">
      <c r="A52" s="3" t="s">
        <v>668</v>
      </c>
      <c r="B52" s="3"/>
      <c r="C52" s="3"/>
      <c r="D52" s="3"/>
      <c r="E52" s="3"/>
      <c r="F52" s="3"/>
      <c r="G52" s="3"/>
    </row>
    <row r="53" ht="22.5" customHeight="1">
      <c r="A53" s="3" t="s">
        <v>669</v>
      </c>
      <c r="B53" s="3"/>
      <c r="C53" s="3"/>
      <c r="D53" s="3"/>
      <c r="E53" s="3"/>
      <c r="F53" s="3"/>
      <c r="G53" s="3"/>
    </row>
    <row r="54" ht="22.5" customHeight="1">
      <c r="A54" s="3" t="s">
        <v>671</v>
      </c>
      <c r="B54" s="3"/>
      <c r="C54" s="3"/>
      <c r="D54" s="3"/>
      <c r="E54" s="3"/>
      <c r="F54" s="3"/>
      <c r="G54" s="3"/>
    </row>
    <row r="55" ht="22.5" customHeight="1">
      <c r="A55" s="3" t="s">
        <v>672</v>
      </c>
      <c r="B55" s="3"/>
      <c r="C55" s="3"/>
      <c r="D55" s="3"/>
      <c r="E55" s="3"/>
      <c r="F55" s="3"/>
      <c r="G55" s="3"/>
    </row>
    <row r="56" ht="22.5" customHeight="1">
      <c r="A56" s="3" t="s">
        <v>674</v>
      </c>
      <c r="B56" s="3"/>
      <c r="C56" s="3"/>
      <c r="D56" s="3"/>
      <c r="E56" s="3"/>
      <c r="F56" s="3"/>
      <c r="G56" s="3"/>
    </row>
    <row r="57" ht="27.0" customHeight="1">
      <c r="A57" s="4" t="s">
        <v>392</v>
      </c>
      <c r="B57" s="4"/>
      <c r="C57" s="4"/>
      <c r="D57" s="4"/>
      <c r="E57" s="4"/>
      <c r="F57" s="4"/>
      <c r="G57" s="4"/>
    </row>
    <row r="58" ht="22.5" customHeight="1">
      <c r="A58" s="10" t="s">
        <v>686</v>
      </c>
      <c r="B58" s="10"/>
      <c r="C58" s="10"/>
      <c r="D58" s="10"/>
      <c r="E58" s="10"/>
      <c r="F58" s="10"/>
      <c r="G58" s="10"/>
    </row>
    <row r="59" ht="22.5" customHeight="1">
      <c r="A59" s="3" t="s">
        <v>691</v>
      </c>
      <c r="B59" s="3"/>
      <c r="C59" s="3"/>
      <c r="D59" s="3"/>
      <c r="E59" s="3"/>
      <c r="F59" s="3"/>
      <c r="G59" s="3"/>
    </row>
    <row r="60" ht="22.5" customHeight="1">
      <c r="A60" s="3" t="s">
        <v>693</v>
      </c>
      <c r="B60" s="3"/>
      <c r="C60" s="3"/>
      <c r="D60" s="3"/>
      <c r="E60" s="3"/>
      <c r="F60" s="3"/>
      <c r="G60" s="3"/>
    </row>
    <row r="61" ht="22.5" customHeight="1">
      <c r="A61" s="3" t="s">
        <v>694</v>
      </c>
      <c r="B61" s="3"/>
      <c r="C61" s="3"/>
      <c r="D61" s="3"/>
      <c r="E61" s="3"/>
      <c r="F61" s="3"/>
      <c r="G61" s="3"/>
    </row>
    <row r="62" ht="22.5" customHeight="1">
      <c r="A62" s="3" t="s">
        <v>695</v>
      </c>
      <c r="B62" s="3"/>
      <c r="C62" s="3"/>
      <c r="D62" s="3"/>
      <c r="E62" s="3"/>
      <c r="F62" s="3"/>
      <c r="G62" s="3"/>
    </row>
    <row r="63" ht="22.5" customHeight="1">
      <c r="A63" s="3" t="s">
        <v>697</v>
      </c>
      <c r="B63" s="3"/>
      <c r="C63" s="3"/>
      <c r="D63" s="3"/>
      <c r="E63" s="3"/>
      <c r="F63" s="3"/>
      <c r="G63" s="3"/>
    </row>
    <row r="64" ht="22.5" customHeight="1">
      <c r="A64" s="3" t="s">
        <v>698</v>
      </c>
      <c r="B64" s="3"/>
      <c r="C64" s="3"/>
      <c r="D64" s="3"/>
      <c r="E64" s="3"/>
      <c r="F64" s="3"/>
      <c r="G64" s="3"/>
    </row>
    <row r="65" ht="22.5" customHeight="1">
      <c r="A65" s="3" t="s">
        <v>699</v>
      </c>
      <c r="B65" s="3"/>
      <c r="C65" s="3"/>
      <c r="D65" s="3"/>
      <c r="E65" s="3"/>
      <c r="F65" s="3"/>
      <c r="G65" s="3"/>
    </row>
    <row r="66" ht="22.5" customHeight="1">
      <c r="A66" s="3" t="s">
        <v>700</v>
      </c>
      <c r="B66" s="3"/>
      <c r="C66" s="3"/>
      <c r="D66" s="3"/>
      <c r="E66" s="3"/>
      <c r="F66" s="3"/>
      <c r="G66" s="3"/>
    </row>
    <row r="67" ht="22.5" customHeight="1">
      <c r="A67" s="3" t="s">
        <v>701</v>
      </c>
      <c r="B67" s="3"/>
      <c r="C67" s="3"/>
      <c r="D67" s="3"/>
      <c r="E67" s="3"/>
      <c r="F67" s="3"/>
      <c r="G67" s="3"/>
    </row>
    <row r="68" ht="22.5" customHeight="1">
      <c r="A68" s="3" t="s">
        <v>702</v>
      </c>
      <c r="B68" s="3"/>
      <c r="C68" s="3"/>
      <c r="D68" s="3"/>
      <c r="E68" s="3"/>
      <c r="F68" s="3"/>
      <c r="G68" s="3"/>
    </row>
    <row r="69" ht="22.5" customHeight="1">
      <c r="A69" s="3" t="s">
        <v>703</v>
      </c>
      <c r="B69" s="3"/>
      <c r="C69" s="3"/>
      <c r="D69" s="3"/>
      <c r="E69" s="3"/>
      <c r="F69" s="3"/>
      <c r="G69" s="3"/>
    </row>
    <row r="70" ht="22.5" customHeight="1">
      <c r="A70" s="3" t="s">
        <v>704</v>
      </c>
      <c r="B70" s="3"/>
      <c r="C70" s="3"/>
      <c r="D70" s="3"/>
      <c r="E70" s="3"/>
      <c r="F70" s="3"/>
      <c r="G70" s="3"/>
    </row>
    <row r="71" ht="22.5" customHeight="1">
      <c r="A71" s="3" t="s">
        <v>706</v>
      </c>
      <c r="B71" s="3"/>
      <c r="C71" s="3"/>
      <c r="D71" s="3"/>
      <c r="E71" s="3"/>
      <c r="F71" s="3"/>
      <c r="G71" s="3"/>
    </row>
    <row r="72" ht="22.5" customHeight="1">
      <c r="A72" s="3" t="s">
        <v>708</v>
      </c>
      <c r="B72" s="3"/>
      <c r="C72" s="3"/>
      <c r="D72" s="3"/>
      <c r="E72" s="3"/>
      <c r="F72" s="3"/>
      <c r="G72" s="3"/>
    </row>
    <row r="73" ht="22.5" customHeight="1">
      <c r="A73" s="3" t="s">
        <v>709</v>
      </c>
      <c r="B73" s="3"/>
      <c r="C73" s="3"/>
      <c r="D73" s="3"/>
      <c r="E73" s="3"/>
      <c r="F73" s="3"/>
      <c r="G73" s="3"/>
    </row>
    <row r="74" ht="22.5" customHeight="1">
      <c r="A74" s="3" t="s">
        <v>710</v>
      </c>
      <c r="B74" s="3"/>
      <c r="C74" s="3"/>
      <c r="D74" s="3"/>
      <c r="E74" s="3"/>
      <c r="F74" s="3"/>
      <c r="G74" s="3"/>
    </row>
    <row r="75" ht="22.5" customHeight="1">
      <c r="A75" s="3" t="s">
        <v>711</v>
      </c>
      <c r="B75" s="3"/>
      <c r="C75" s="3"/>
      <c r="D75" s="3"/>
      <c r="E75" s="3"/>
      <c r="F75" s="3"/>
      <c r="G75" s="3"/>
    </row>
    <row r="76" ht="21.75" customHeight="1">
      <c r="A76" s="2"/>
      <c r="B76" s="2"/>
      <c r="C76" s="2"/>
      <c r="D76" s="2"/>
      <c r="E76" s="2"/>
      <c r="F76" s="2"/>
      <c r="G76" s="2"/>
    </row>
    <row r="77" ht="21.75" customHeight="1">
      <c r="A77" s="6" t="s">
        <v>266</v>
      </c>
      <c r="B77" s="2"/>
      <c r="C77" s="2"/>
      <c r="D77" s="2"/>
      <c r="E77" s="2"/>
      <c r="F77" s="2"/>
      <c r="G77" s="2"/>
    </row>
    <row r="78" ht="22.5" customHeight="1">
      <c r="A78" s="3" t="s">
        <v>716</v>
      </c>
      <c r="B78" s="3"/>
      <c r="C78" s="3"/>
      <c r="D78" s="3"/>
      <c r="E78" s="3"/>
      <c r="F78" s="3"/>
      <c r="G78" s="3"/>
    </row>
    <row r="79" ht="22.5" customHeight="1">
      <c r="A79" s="3" t="s">
        <v>717</v>
      </c>
      <c r="B79" s="3"/>
      <c r="C79" s="3"/>
      <c r="D79" s="3"/>
      <c r="E79" s="3"/>
      <c r="F79" s="3"/>
      <c r="G79" s="3"/>
    </row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6_Расписание'!A1" ref="A7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659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</row>
    <row r="4" ht="21.75" customHeight="1">
      <c r="A4" s="6" t="s">
        <v>670</v>
      </c>
      <c r="B4" s="2"/>
      <c r="C4" s="2"/>
      <c r="D4" s="2"/>
      <c r="E4" s="2"/>
      <c r="F4" s="2"/>
    </row>
    <row r="5" ht="22.5" customHeight="1">
      <c r="A5" s="10" t="s">
        <v>673</v>
      </c>
      <c r="B5" s="10"/>
      <c r="C5" s="10"/>
      <c r="D5" s="10"/>
      <c r="E5" s="10"/>
      <c r="F5" s="10"/>
    </row>
    <row r="6" ht="22.5" customHeight="1">
      <c r="A6" s="3" t="s">
        <v>675</v>
      </c>
      <c r="B6" s="3"/>
      <c r="C6" s="3"/>
      <c r="D6" s="3"/>
      <c r="E6" s="3"/>
      <c r="F6" s="3"/>
    </row>
    <row r="7" ht="22.5" customHeight="1">
      <c r="A7" s="3" t="s">
        <v>676</v>
      </c>
      <c r="B7" s="3"/>
      <c r="C7" s="3"/>
      <c r="D7" s="3"/>
      <c r="E7" s="3"/>
      <c r="F7" s="3"/>
    </row>
    <row r="8" ht="22.5" customHeight="1">
      <c r="A8" s="3" t="s">
        <v>677</v>
      </c>
      <c r="B8" s="3"/>
      <c r="C8" s="3"/>
      <c r="D8" s="3"/>
      <c r="E8" s="3"/>
      <c r="F8" s="3"/>
    </row>
    <row r="9" ht="22.5" customHeight="1">
      <c r="A9" s="3" t="s">
        <v>678</v>
      </c>
      <c r="B9" s="3"/>
      <c r="C9" s="3"/>
      <c r="D9" s="3"/>
      <c r="E9" s="3"/>
      <c r="F9" s="3"/>
    </row>
    <row r="10" ht="22.5" customHeight="1">
      <c r="A10" s="3" t="s">
        <v>679</v>
      </c>
      <c r="B10" s="3"/>
      <c r="C10" s="3"/>
      <c r="D10" s="3"/>
      <c r="E10" s="3"/>
      <c r="F10" s="3"/>
    </row>
    <row r="11" ht="22.5" customHeight="1">
      <c r="A11" s="3" t="s">
        <v>680</v>
      </c>
      <c r="B11" s="3"/>
      <c r="C11" s="3"/>
      <c r="D11" s="3"/>
      <c r="E11" s="3"/>
      <c r="F11" s="3"/>
    </row>
    <row r="12" ht="22.5" customHeight="1">
      <c r="A12" s="3" t="s">
        <v>681</v>
      </c>
      <c r="B12" s="3"/>
      <c r="C12" s="3"/>
      <c r="D12" s="3"/>
      <c r="E12" s="3"/>
      <c r="F12" s="3"/>
    </row>
    <row r="13" ht="22.5" customHeight="1">
      <c r="A13" s="3" t="s">
        <v>682</v>
      </c>
      <c r="B13" s="3"/>
      <c r="C13" s="3"/>
      <c r="D13" s="3"/>
      <c r="E13" s="3"/>
      <c r="F13" s="3"/>
    </row>
    <row r="14" ht="22.5" customHeight="1">
      <c r="A14" s="3" t="s">
        <v>683</v>
      </c>
      <c r="B14" s="3"/>
      <c r="C14" s="3"/>
      <c r="D14" s="3"/>
      <c r="E14" s="3"/>
      <c r="F14" s="3"/>
    </row>
    <row r="15" ht="22.5" customHeight="1">
      <c r="A15" s="3" t="s">
        <v>56</v>
      </c>
      <c r="B15" s="3"/>
      <c r="C15" s="3"/>
      <c r="D15" s="3"/>
      <c r="E15" s="3"/>
      <c r="F15" s="3"/>
    </row>
    <row r="16" ht="27.0" customHeight="1">
      <c r="A16" s="4" t="s">
        <v>684</v>
      </c>
      <c r="B16" s="4"/>
      <c r="C16" s="4"/>
      <c r="D16" s="4"/>
      <c r="E16" s="4"/>
      <c r="F16" s="4"/>
    </row>
    <row r="17" ht="48.75" customHeight="1">
      <c r="A17" s="5" t="s">
        <v>685</v>
      </c>
      <c r="B17" s="5" t="s">
        <v>687</v>
      </c>
      <c r="C17" s="5" t="s">
        <v>688</v>
      </c>
      <c r="D17" s="5" t="s">
        <v>689</v>
      </c>
      <c r="E17" s="2"/>
      <c r="F17" s="2"/>
    </row>
    <row r="18" ht="79.5" customHeight="1">
      <c r="A18" s="7" t="s">
        <v>690</v>
      </c>
      <c r="B18" s="28" t="s">
        <v>692</v>
      </c>
      <c r="C18" s="31">
        <f>IF(COUNT(B83:B86)&lt;4,"",IFERROR(B84-B83,""))</f>
        <v>-0.4</v>
      </c>
      <c r="D18" s="16"/>
      <c r="E18" s="2"/>
      <c r="F18" s="2"/>
    </row>
    <row r="19" ht="79.5" customHeight="1">
      <c r="A19" s="7" t="s">
        <v>705</v>
      </c>
      <c r="B19" s="28" t="s">
        <v>707</v>
      </c>
      <c r="C19" s="31">
        <f>IF(COUNT(B83:B86)&lt;4,"",IFERROR(B84-B85,""))</f>
        <v>-0.5</v>
      </c>
      <c r="D19" s="16"/>
      <c r="E19" s="2"/>
      <c r="F19" s="2"/>
    </row>
    <row r="20" ht="79.5" customHeight="1">
      <c r="A20" s="7" t="s">
        <v>712</v>
      </c>
      <c r="B20" s="28" t="s">
        <v>713</v>
      </c>
      <c r="C20" s="31">
        <f>IF(COUNT(B83:B86)&lt;4,"",IFERROR(B84/B83,""))</f>
        <v>0.8333333333</v>
      </c>
      <c r="D20" s="16"/>
      <c r="E20" s="2"/>
      <c r="F20" s="2"/>
    </row>
    <row r="21" ht="79.5" customHeight="1">
      <c r="A21" s="7" t="s">
        <v>714</v>
      </c>
      <c r="B21" s="28" t="s">
        <v>715</v>
      </c>
      <c r="C21" s="31">
        <f>IF(COUNT(B83:B86)&lt;4,"",IFERROR(B84/B85,""))</f>
        <v>0.8</v>
      </c>
      <c r="D21" s="16"/>
      <c r="E21" s="2"/>
      <c r="F21" s="2"/>
    </row>
    <row r="22" ht="79.5" customHeight="1">
      <c r="A22" s="7" t="s">
        <v>720</v>
      </c>
      <c r="B22" s="28" t="s">
        <v>721</v>
      </c>
      <c r="C22" s="31">
        <f>IF(COUNT(B83:B86)&lt;4,"",IFERROR(B85+B86-B84,""))</f>
        <v>5.3</v>
      </c>
      <c r="D22" s="16"/>
      <c r="E22" s="2"/>
      <c r="F22" s="2"/>
    </row>
    <row r="23" ht="79.5" customHeight="1">
      <c r="A23" s="7" t="s">
        <v>722</v>
      </c>
      <c r="B23" s="28" t="s">
        <v>723</v>
      </c>
      <c r="C23" s="31">
        <f>IF(COUNT(B83:B86)&lt;4,"",IFERROR(B86/(B84/B85),""))</f>
        <v>6</v>
      </c>
      <c r="D23" s="16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1.75" customHeight="1">
      <c r="A25" s="2"/>
      <c r="B25" s="2"/>
      <c r="C25" s="2"/>
      <c r="D25" s="2"/>
      <c r="E25" s="2"/>
      <c r="F25" s="2"/>
    </row>
    <row r="26" ht="27.0" customHeight="1">
      <c r="A26" s="4" t="s">
        <v>724</v>
      </c>
      <c r="B26" s="4"/>
      <c r="C26" s="4"/>
      <c r="D26" s="4"/>
      <c r="E26" s="4"/>
      <c r="F26" s="4"/>
    </row>
    <row r="27" ht="48.75" customHeight="1">
      <c r="A27" s="5" t="s">
        <v>726</v>
      </c>
      <c r="B27" s="5" t="s">
        <v>727</v>
      </c>
      <c r="C27" s="5" t="s">
        <v>728</v>
      </c>
      <c r="D27" s="2"/>
      <c r="E27" s="2"/>
      <c r="F27" s="2"/>
    </row>
    <row r="28" ht="79.5" customHeight="1">
      <c r="A28" s="26" t="s">
        <v>729</v>
      </c>
      <c r="B28" s="16"/>
      <c r="C28" s="16"/>
      <c r="D28" s="2"/>
      <c r="E28" s="2"/>
      <c r="F28" s="2"/>
    </row>
    <row r="29" ht="79.5" customHeight="1">
      <c r="A29" s="26" t="s">
        <v>731</v>
      </c>
      <c r="B29" s="16"/>
      <c r="C29" s="16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1.75" customHeight="1">
      <c r="A31" s="2"/>
      <c r="B31" s="2"/>
      <c r="C31" s="2"/>
      <c r="D31" s="2"/>
      <c r="E31" s="2"/>
      <c r="F31" s="2"/>
    </row>
    <row r="32" ht="27.0" customHeight="1">
      <c r="A32" s="4" t="s">
        <v>733</v>
      </c>
      <c r="B32" s="4"/>
      <c r="C32" s="4"/>
      <c r="D32" s="4"/>
      <c r="E32" s="4"/>
      <c r="F32" s="4"/>
    </row>
    <row r="33" ht="48.75" customHeight="1">
      <c r="A33" s="5" t="s">
        <v>471</v>
      </c>
      <c r="B33" s="5" t="s">
        <v>734</v>
      </c>
      <c r="C33" s="5" t="s">
        <v>735</v>
      </c>
      <c r="D33" s="5" t="s">
        <v>737</v>
      </c>
      <c r="E33" s="5" t="s">
        <v>738</v>
      </c>
      <c r="F33" s="5" t="s">
        <v>739</v>
      </c>
    </row>
    <row r="34" ht="79.5" customHeight="1">
      <c r="A34" s="7" t="s">
        <v>740</v>
      </c>
      <c r="B34" s="31">
        <f t="shared" ref="B34:B37" si="1">IF(COUNT(B97:E97)&lt;4,"",SUM(B97:E97))</f>
        <v>1.75</v>
      </c>
      <c r="C34" s="31">
        <f>IF(OR(F97="",B91=""),"",F97*B91)</f>
        <v>0.96</v>
      </c>
      <c r="D34" s="31">
        <f t="shared" ref="D34:D37" si="2">IF(OR(B34="",C34=""),"",B34+C34)</f>
        <v>2.71</v>
      </c>
      <c r="E34" s="30">
        <f t="shared" ref="E34:E37" si="3">IF(F97="","",F97)</f>
        <v>8</v>
      </c>
      <c r="F34" s="16"/>
    </row>
    <row r="35" ht="79.5" customHeight="1">
      <c r="A35" s="7" t="s">
        <v>757</v>
      </c>
      <c r="B35" s="31">
        <f t="shared" si="1"/>
        <v>2.17</v>
      </c>
      <c r="C35" s="31">
        <f>IF(OR(F98="",B91=""),"",F98*B91)</f>
        <v>0.6</v>
      </c>
      <c r="D35" s="31">
        <f t="shared" si="2"/>
        <v>2.77</v>
      </c>
      <c r="E35" s="30">
        <f t="shared" si="3"/>
        <v>5</v>
      </c>
      <c r="F35" s="16"/>
    </row>
    <row r="36" ht="79.5" customHeight="1">
      <c r="A36" s="7" t="s">
        <v>763</v>
      </c>
      <c r="B36" s="31">
        <f t="shared" si="1"/>
        <v>2.02</v>
      </c>
      <c r="C36" s="31">
        <f>IF(OR(F99="",B91=""),"",F99*B91)</f>
        <v>0.6</v>
      </c>
      <c r="D36" s="31">
        <f t="shared" si="2"/>
        <v>2.62</v>
      </c>
      <c r="E36" s="30">
        <f t="shared" si="3"/>
        <v>5</v>
      </c>
      <c r="F36" s="16"/>
    </row>
    <row r="37" ht="79.5" customHeight="1">
      <c r="A37" s="7" t="s">
        <v>765</v>
      </c>
      <c r="B37" s="31">
        <f t="shared" si="1"/>
        <v>2.32</v>
      </c>
      <c r="C37" s="31">
        <f>IF(OR(F100="",B91=""),"",F100*B91)</f>
        <v>0.6</v>
      </c>
      <c r="D37" s="31">
        <f t="shared" si="2"/>
        <v>2.92</v>
      </c>
      <c r="E37" s="30">
        <f t="shared" si="3"/>
        <v>5</v>
      </c>
      <c r="F37" s="16"/>
    </row>
    <row r="38" ht="21.75" customHeight="1">
      <c r="A38" s="2"/>
      <c r="B38" s="2"/>
      <c r="C38" s="2"/>
      <c r="D38" s="2"/>
      <c r="E38" s="2"/>
      <c r="F38" s="2"/>
    </row>
    <row r="39" ht="21.75" customHeight="1">
      <c r="A39" s="2"/>
      <c r="B39" s="2"/>
      <c r="C39" s="2"/>
      <c r="D39" s="2"/>
      <c r="E39" s="2"/>
      <c r="F39" s="2"/>
    </row>
    <row r="40" ht="27.0" customHeight="1">
      <c r="A40" s="4" t="s">
        <v>770</v>
      </c>
      <c r="B40" s="4"/>
      <c r="C40" s="4"/>
      <c r="D40" s="4"/>
      <c r="E40" s="4"/>
      <c r="F40" s="4"/>
    </row>
    <row r="41" ht="48.75" customHeight="1">
      <c r="A41" s="5" t="s">
        <v>471</v>
      </c>
      <c r="B41" s="5" t="s">
        <v>771</v>
      </c>
      <c r="C41" s="5" t="s">
        <v>772</v>
      </c>
      <c r="D41" s="5" t="s">
        <v>774</v>
      </c>
      <c r="E41" s="2"/>
      <c r="F41" s="2"/>
    </row>
    <row r="42" ht="79.5" customHeight="1">
      <c r="A42" s="16"/>
      <c r="B42" s="16"/>
      <c r="C42" s="16"/>
      <c r="D42" s="16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212</v>
      </c>
      <c r="B45" s="4"/>
      <c r="C45" s="4"/>
      <c r="D45" s="4"/>
      <c r="E45" s="4"/>
      <c r="F45" s="4"/>
    </row>
    <row r="46" ht="22.5" customHeight="1">
      <c r="A46" s="3" t="s">
        <v>779</v>
      </c>
      <c r="B46" s="3"/>
      <c r="C46" s="3"/>
      <c r="D46" s="3"/>
      <c r="E46" s="3"/>
      <c r="F46" s="3"/>
    </row>
    <row r="47" ht="22.5" customHeight="1">
      <c r="A47" s="3" t="s">
        <v>781</v>
      </c>
      <c r="B47" s="3"/>
      <c r="C47" s="3"/>
      <c r="D47" s="3"/>
      <c r="E47" s="3"/>
      <c r="F47" s="3"/>
    </row>
    <row r="48" ht="22.5" customHeight="1">
      <c r="A48" s="3" t="s">
        <v>782</v>
      </c>
      <c r="B48" s="3"/>
      <c r="C48" s="3"/>
      <c r="D48" s="3"/>
      <c r="E48" s="3"/>
      <c r="F48" s="3"/>
    </row>
    <row r="49" ht="22.5" customHeight="1">
      <c r="A49" s="3" t="s">
        <v>784</v>
      </c>
      <c r="B49" s="3"/>
      <c r="C49" s="3"/>
      <c r="D49" s="3"/>
      <c r="E49" s="3"/>
      <c r="F49" s="3"/>
    </row>
    <row r="50" ht="22.5" customHeight="1">
      <c r="A50" s="3" t="s">
        <v>786</v>
      </c>
      <c r="B50" s="3"/>
      <c r="C50" s="3"/>
      <c r="D50" s="3"/>
      <c r="E50" s="3"/>
      <c r="F50" s="3"/>
    </row>
    <row r="51" ht="22.5" customHeight="1">
      <c r="A51" s="3" t="s">
        <v>789</v>
      </c>
      <c r="B51" s="3"/>
      <c r="C51" s="3"/>
      <c r="D51" s="3"/>
      <c r="E51" s="3"/>
      <c r="F51" s="3"/>
    </row>
    <row r="52" ht="22.5" customHeight="1">
      <c r="A52" s="3" t="s">
        <v>790</v>
      </c>
      <c r="B52" s="3"/>
      <c r="C52" s="3"/>
      <c r="D52" s="3"/>
      <c r="E52" s="3"/>
      <c r="F52" s="3"/>
    </row>
    <row r="53" ht="22.5" customHeight="1">
      <c r="A53" s="3" t="s">
        <v>791</v>
      </c>
      <c r="B53" s="3"/>
      <c r="C53" s="3"/>
      <c r="D53" s="3"/>
      <c r="E53" s="3"/>
      <c r="F53" s="3"/>
    </row>
    <row r="54" ht="22.5" customHeight="1">
      <c r="A54" s="3" t="s">
        <v>793</v>
      </c>
      <c r="B54" s="3"/>
      <c r="C54" s="3"/>
      <c r="D54" s="3"/>
      <c r="E54" s="3"/>
      <c r="F54" s="3"/>
    </row>
    <row r="55" ht="22.5" customHeight="1">
      <c r="A55" s="3" t="s">
        <v>794</v>
      </c>
      <c r="B55" s="3"/>
      <c r="C55" s="3"/>
      <c r="D55" s="3"/>
      <c r="E55" s="3"/>
      <c r="F55" s="3"/>
    </row>
    <row r="56" ht="22.5" customHeight="1">
      <c r="A56" s="3" t="s">
        <v>796</v>
      </c>
      <c r="B56" s="3"/>
      <c r="C56" s="3"/>
      <c r="D56" s="3"/>
      <c r="E56" s="3"/>
      <c r="F56" s="3"/>
    </row>
    <row r="57" ht="22.5" customHeight="1">
      <c r="A57" s="3" t="s">
        <v>798</v>
      </c>
      <c r="B57" s="3"/>
      <c r="C57" s="3"/>
      <c r="D57" s="3"/>
      <c r="E57" s="3"/>
      <c r="F57" s="3"/>
    </row>
    <row r="58" ht="22.5" customHeight="1">
      <c r="A58" s="3" t="s">
        <v>800</v>
      </c>
      <c r="B58" s="3"/>
      <c r="C58" s="3"/>
      <c r="D58" s="3"/>
      <c r="E58" s="3"/>
      <c r="F58" s="3"/>
    </row>
    <row r="59" ht="22.5" customHeight="1">
      <c r="A59" s="3" t="s">
        <v>803</v>
      </c>
      <c r="B59" s="3"/>
      <c r="C59" s="3"/>
      <c r="D59" s="3"/>
      <c r="E59" s="3"/>
      <c r="F59" s="3"/>
    </row>
    <row r="60" ht="22.5" customHeight="1">
      <c r="A60" s="3" t="s">
        <v>804</v>
      </c>
      <c r="B60" s="3"/>
      <c r="C60" s="3"/>
      <c r="D60" s="3"/>
      <c r="E60" s="3"/>
      <c r="F60" s="3"/>
    </row>
    <row r="61" ht="27.0" customHeight="1">
      <c r="A61" s="4" t="s">
        <v>392</v>
      </c>
      <c r="B61" s="4"/>
      <c r="C61" s="4"/>
      <c r="D61" s="4"/>
      <c r="E61" s="4"/>
      <c r="F61" s="4"/>
    </row>
    <row r="62" ht="22.5" customHeight="1">
      <c r="A62" s="10" t="s">
        <v>806</v>
      </c>
      <c r="B62" s="10"/>
      <c r="C62" s="10"/>
      <c r="D62" s="10"/>
      <c r="E62" s="10"/>
      <c r="F62" s="10"/>
    </row>
    <row r="63" ht="22.5" customHeight="1">
      <c r="A63" s="3" t="s">
        <v>809</v>
      </c>
      <c r="B63" s="3"/>
      <c r="C63" s="3"/>
      <c r="D63" s="3"/>
      <c r="E63" s="3"/>
      <c r="F63" s="3"/>
    </row>
    <row r="64" ht="22.5" customHeight="1">
      <c r="A64" s="3" t="s">
        <v>812</v>
      </c>
      <c r="B64" s="3"/>
      <c r="C64" s="3"/>
      <c r="D64" s="3"/>
      <c r="E64" s="3"/>
      <c r="F64" s="3"/>
    </row>
    <row r="65" ht="22.5" customHeight="1">
      <c r="A65" s="3" t="s">
        <v>816</v>
      </c>
      <c r="B65" s="3"/>
      <c r="C65" s="3"/>
      <c r="D65" s="3"/>
      <c r="E65" s="3"/>
      <c r="F65" s="3"/>
    </row>
    <row r="66" ht="22.5" customHeight="1">
      <c r="A66" s="3" t="s">
        <v>818</v>
      </c>
      <c r="B66" s="3"/>
      <c r="C66" s="3"/>
      <c r="D66" s="3"/>
      <c r="E66" s="3"/>
      <c r="F66" s="3"/>
    </row>
    <row r="67" ht="22.5" customHeight="1">
      <c r="A67" s="3" t="s">
        <v>820</v>
      </c>
      <c r="B67" s="3"/>
      <c r="C67" s="3"/>
      <c r="D67" s="3"/>
      <c r="E67" s="3"/>
      <c r="F67" s="3"/>
    </row>
    <row r="68" ht="22.5" customHeight="1">
      <c r="A68" s="3" t="s">
        <v>822</v>
      </c>
      <c r="B68" s="3"/>
      <c r="C68" s="3"/>
      <c r="D68" s="3"/>
      <c r="E68" s="3"/>
      <c r="F68" s="3"/>
    </row>
    <row r="69" ht="22.5" customHeight="1">
      <c r="A69" s="10" t="s">
        <v>823</v>
      </c>
      <c r="B69" s="10"/>
      <c r="C69" s="10"/>
      <c r="D69" s="10"/>
      <c r="E69" s="10"/>
      <c r="F69" s="10"/>
    </row>
    <row r="70" ht="22.5" customHeight="1">
      <c r="A70" s="3" t="s">
        <v>825</v>
      </c>
      <c r="B70" s="3"/>
      <c r="C70" s="3"/>
      <c r="D70" s="3"/>
      <c r="E70" s="3"/>
      <c r="F70" s="3"/>
    </row>
    <row r="71" ht="22.5" customHeight="1">
      <c r="A71" s="3" t="s">
        <v>826</v>
      </c>
      <c r="B71" s="3"/>
      <c r="C71" s="3"/>
      <c r="D71" s="3"/>
      <c r="E71" s="3"/>
      <c r="F71" s="3"/>
    </row>
    <row r="72" ht="22.5" customHeight="1">
      <c r="A72" s="3" t="s">
        <v>828</v>
      </c>
      <c r="B72" s="3"/>
      <c r="C72" s="3"/>
      <c r="D72" s="3"/>
      <c r="E72" s="3"/>
      <c r="F72" s="3"/>
    </row>
    <row r="73" ht="22.5" customHeight="1">
      <c r="A73" s="3" t="s">
        <v>829</v>
      </c>
      <c r="B73" s="3"/>
      <c r="C73" s="3"/>
      <c r="D73" s="3"/>
      <c r="E73" s="3"/>
      <c r="F73" s="3"/>
    </row>
    <row r="74" ht="22.5" customHeight="1">
      <c r="A74" s="3" t="s">
        <v>832</v>
      </c>
      <c r="B74" s="3"/>
      <c r="C74" s="3"/>
      <c r="D74" s="3"/>
      <c r="E74" s="3"/>
      <c r="F74" s="3"/>
    </row>
    <row r="75" ht="22.5" customHeight="1">
      <c r="A75" s="3" t="s">
        <v>833</v>
      </c>
      <c r="B75" s="3"/>
      <c r="C75" s="3"/>
      <c r="D75" s="3"/>
      <c r="E75" s="3"/>
      <c r="F75" s="3"/>
    </row>
    <row r="76" ht="22.5" customHeight="1">
      <c r="A76" s="3" t="s">
        <v>836</v>
      </c>
      <c r="B76" s="3"/>
      <c r="C76" s="3"/>
      <c r="D76" s="3"/>
      <c r="E76" s="3"/>
      <c r="F76" s="3"/>
    </row>
    <row r="77" ht="22.5" customHeight="1">
      <c r="A77" s="3" t="s">
        <v>839</v>
      </c>
      <c r="B77" s="3"/>
      <c r="C77" s="3"/>
      <c r="D77" s="3"/>
      <c r="E77" s="3"/>
      <c r="F77" s="3"/>
    </row>
    <row r="78" ht="22.5" customHeight="1">
      <c r="A78" s="3" t="s">
        <v>841</v>
      </c>
      <c r="B78" s="3"/>
      <c r="C78" s="3"/>
      <c r="D78" s="3"/>
      <c r="E78" s="3"/>
      <c r="F78" s="3"/>
    </row>
    <row r="79" ht="22.5" customHeight="1">
      <c r="A79" s="3" t="s">
        <v>844</v>
      </c>
      <c r="B79" s="3"/>
      <c r="C79" s="3"/>
      <c r="D79" s="3"/>
      <c r="E79" s="3"/>
      <c r="F79" s="3"/>
    </row>
    <row r="80" ht="22.5" customHeight="1">
      <c r="A80" s="3" t="s">
        <v>263</v>
      </c>
      <c r="B80" s="3"/>
      <c r="C80" s="3"/>
      <c r="D80" s="3"/>
      <c r="E80" s="3"/>
      <c r="F80" s="3"/>
    </row>
    <row r="81" ht="27.0" customHeight="1">
      <c r="A81" s="4" t="s">
        <v>848</v>
      </c>
      <c r="B81" s="4"/>
      <c r="C81" s="4"/>
      <c r="D81" s="4"/>
      <c r="E81" s="4"/>
      <c r="F81" s="4"/>
    </row>
    <row r="82" ht="48.75" customHeight="1">
      <c r="A82" s="5" t="s">
        <v>849</v>
      </c>
      <c r="B82" s="5" t="s">
        <v>852</v>
      </c>
      <c r="C82" s="2"/>
      <c r="D82" s="2"/>
      <c r="E82" s="2"/>
      <c r="F82" s="2"/>
    </row>
    <row r="83" ht="37.5" customHeight="1">
      <c r="A83" s="15" t="s">
        <v>856</v>
      </c>
      <c r="B83" s="32">
        <v>2.4</v>
      </c>
      <c r="C83" s="2"/>
      <c r="D83" s="2"/>
      <c r="E83" s="2"/>
      <c r="F83" s="2"/>
    </row>
    <row r="84" ht="37.5" customHeight="1">
      <c r="A84" s="15" t="s">
        <v>862</v>
      </c>
      <c r="B84" s="32">
        <v>2.0</v>
      </c>
      <c r="C84" s="2"/>
      <c r="D84" s="2"/>
      <c r="E84" s="2"/>
      <c r="F84" s="2"/>
    </row>
    <row r="85" ht="37.5" customHeight="1">
      <c r="A85" s="15" t="s">
        <v>866</v>
      </c>
      <c r="B85" s="33">
        <v>2.5</v>
      </c>
      <c r="C85" s="2"/>
      <c r="D85" s="2"/>
      <c r="E85" s="2"/>
      <c r="F85" s="2"/>
    </row>
    <row r="86" ht="37.5" customHeight="1">
      <c r="A86" s="15" t="s">
        <v>872</v>
      </c>
      <c r="B86" s="32">
        <v>4.8</v>
      </c>
      <c r="C86" s="2"/>
      <c r="D86" s="2"/>
      <c r="E86" s="2"/>
      <c r="F86" s="2"/>
    </row>
    <row r="87" ht="21.75" customHeight="1">
      <c r="A87" s="2"/>
      <c r="B87" s="2"/>
      <c r="C87" s="2"/>
      <c r="D87" s="2"/>
      <c r="E87" s="2"/>
      <c r="F87" s="2"/>
    </row>
    <row r="88" ht="21.75" customHeight="1">
      <c r="A88" s="2"/>
      <c r="B88" s="2"/>
      <c r="C88" s="2"/>
      <c r="D88" s="2"/>
      <c r="E88" s="2"/>
      <c r="F88" s="2"/>
    </row>
    <row r="89" ht="27.0" customHeight="1">
      <c r="A89" s="4" t="s">
        <v>879</v>
      </c>
      <c r="B89" s="4"/>
      <c r="C89" s="4"/>
      <c r="D89" s="4"/>
      <c r="E89" s="4"/>
      <c r="F89" s="4"/>
    </row>
    <row r="90" ht="48.75" customHeight="1">
      <c r="A90" s="5" t="s">
        <v>410</v>
      </c>
      <c r="B90" s="5" t="s">
        <v>852</v>
      </c>
      <c r="C90" s="2"/>
      <c r="D90" s="2"/>
      <c r="E90" s="2"/>
      <c r="F90" s="2"/>
    </row>
    <row r="91" ht="42.0" customHeight="1">
      <c r="A91" s="15" t="s">
        <v>886</v>
      </c>
      <c r="B91" s="32">
        <v>0.12</v>
      </c>
      <c r="C91" s="2"/>
      <c r="D91" s="2"/>
      <c r="E91" s="2"/>
      <c r="F91" s="2"/>
    </row>
    <row r="92" ht="42.0" customHeight="1">
      <c r="A92" s="15" t="s">
        <v>888</v>
      </c>
      <c r="B92" s="27">
        <v>12.0</v>
      </c>
      <c r="C92" s="2"/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7.0" customHeight="1">
      <c r="A95" s="4" t="s">
        <v>899</v>
      </c>
      <c r="B95" s="4"/>
      <c r="C95" s="4"/>
      <c r="D95" s="4"/>
      <c r="E95" s="4"/>
      <c r="F95" s="4"/>
    </row>
    <row r="96" ht="48.75" customHeight="1">
      <c r="A96" s="5" t="s">
        <v>471</v>
      </c>
      <c r="B96" s="5" t="s">
        <v>905</v>
      </c>
      <c r="C96" s="5" t="s">
        <v>907</v>
      </c>
      <c r="D96" s="5" t="s">
        <v>908</v>
      </c>
      <c r="E96" s="5" t="s">
        <v>909</v>
      </c>
      <c r="F96" s="5" t="s">
        <v>910</v>
      </c>
    </row>
    <row r="97" ht="37.5" customHeight="1">
      <c r="A97" s="15" t="s">
        <v>740</v>
      </c>
      <c r="B97" s="32">
        <v>1.2</v>
      </c>
      <c r="C97" s="32">
        <v>0.0</v>
      </c>
      <c r="D97" s="32">
        <v>0.55</v>
      </c>
      <c r="E97" s="32">
        <v>0.0</v>
      </c>
      <c r="F97" s="27">
        <v>8.0</v>
      </c>
    </row>
    <row r="98" ht="37.5" customHeight="1">
      <c r="A98" s="15" t="s">
        <v>913</v>
      </c>
      <c r="B98" s="32">
        <v>1.45</v>
      </c>
      <c r="C98" s="32">
        <v>0.4</v>
      </c>
      <c r="D98" s="32">
        <v>0.2</v>
      </c>
      <c r="E98" s="32">
        <v>0.12</v>
      </c>
      <c r="F98" s="27">
        <v>5.0</v>
      </c>
    </row>
    <row r="99" ht="37.5" customHeight="1">
      <c r="A99" s="15" t="s">
        <v>917</v>
      </c>
      <c r="B99" s="32">
        <v>1.45</v>
      </c>
      <c r="C99" s="32">
        <v>0.25</v>
      </c>
      <c r="D99" s="32">
        <v>0.2</v>
      </c>
      <c r="E99" s="32">
        <v>0.12</v>
      </c>
      <c r="F99" s="27">
        <v>5.0</v>
      </c>
    </row>
    <row r="100" ht="37.5" customHeight="1">
      <c r="A100" s="15" t="s">
        <v>923</v>
      </c>
      <c r="B100" s="32">
        <v>1.45</v>
      </c>
      <c r="C100" s="32">
        <v>0.55</v>
      </c>
      <c r="D100" s="32">
        <v>0.2</v>
      </c>
      <c r="E100" s="32">
        <v>0.12</v>
      </c>
      <c r="F100" s="27">
        <v>5.0</v>
      </c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927</v>
      </c>
      <c r="B103" s="4"/>
      <c r="C103" s="4"/>
      <c r="D103" s="4"/>
      <c r="E103" s="4"/>
      <c r="F103" s="4"/>
    </row>
    <row r="104" ht="48.75" customHeight="1">
      <c r="A104" s="5" t="s">
        <v>849</v>
      </c>
      <c r="B104" s="5" t="s">
        <v>929</v>
      </c>
      <c r="C104" s="2"/>
      <c r="D104" s="2"/>
      <c r="E104" s="2"/>
      <c r="F104" s="2"/>
    </row>
    <row r="105" ht="57.0" customHeight="1">
      <c r="A105" s="15" t="s">
        <v>931</v>
      </c>
      <c r="B105" s="36">
        <f>IF(D34="","",D34-(B98+D98+E98+F98*B91))</f>
        <v>0.34</v>
      </c>
      <c r="C105" s="2"/>
      <c r="D105" s="2"/>
      <c r="E105" s="2"/>
      <c r="F105" s="2"/>
    </row>
    <row r="106" ht="21.75" customHeight="1">
      <c r="A106" s="2"/>
      <c r="B106" s="2"/>
      <c r="C106" s="2"/>
      <c r="D106" s="2"/>
      <c r="E106" s="2"/>
      <c r="F106" s="2"/>
    </row>
    <row r="107" ht="21.75" customHeight="1">
      <c r="A107" s="2"/>
      <c r="B107" s="2"/>
      <c r="C107" s="2"/>
      <c r="D107" s="2"/>
      <c r="E107" s="2"/>
      <c r="F107" s="2"/>
    </row>
    <row r="108" ht="22.5" customHeight="1">
      <c r="A108" s="3" t="s">
        <v>938</v>
      </c>
      <c r="B108" s="3"/>
      <c r="C108" s="3"/>
      <c r="D108" s="3"/>
      <c r="E108" s="3"/>
      <c r="F108" s="3"/>
    </row>
    <row r="109" ht="22.5" customHeight="1">
      <c r="A109" s="3" t="s">
        <v>939</v>
      </c>
      <c r="B109" s="3"/>
      <c r="C109" s="3"/>
      <c r="D109" s="3"/>
      <c r="E109" s="3"/>
      <c r="F109" s="3"/>
    </row>
    <row r="110" ht="21.75" customHeight="1">
      <c r="A110" s="2"/>
      <c r="B110" s="2"/>
      <c r="C110" s="2"/>
      <c r="D110" s="2"/>
      <c r="E110" s="2"/>
      <c r="F110" s="2"/>
    </row>
    <row r="111" ht="21.75" customHeight="1">
      <c r="A111" s="6" t="s">
        <v>266</v>
      </c>
      <c r="B111" s="2"/>
      <c r="C111" s="2"/>
      <c r="D111" s="2"/>
      <c r="E111" s="2"/>
      <c r="F111" s="2"/>
    </row>
    <row r="112" ht="22.5" customHeight="1">
      <c r="A112" s="3" t="s">
        <v>273</v>
      </c>
      <c r="B112" s="3"/>
      <c r="C112" s="3"/>
      <c r="D112" s="3"/>
      <c r="E112" s="3"/>
      <c r="F112" s="3"/>
    </row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08_Экономика'!A81" ref="A4"/>
    <hyperlink display="Предыдущее решение команды →" location="'С07_Взаимодействие'!A1" ref="A11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719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6" t="s">
        <v>5</v>
      </c>
      <c r="B3" s="2"/>
      <c r="C3" s="6" t="s">
        <v>10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0" t="s">
        <v>725</v>
      </c>
      <c r="B5" s="10"/>
      <c r="C5" s="10"/>
      <c r="D5" s="10"/>
      <c r="E5" s="10"/>
    </row>
    <row r="6" ht="22.5" customHeight="1">
      <c r="A6" s="3" t="s">
        <v>730</v>
      </c>
      <c r="B6" s="3"/>
      <c r="C6" s="3"/>
      <c r="D6" s="3"/>
      <c r="E6" s="3"/>
    </row>
    <row r="7" ht="22.5" customHeight="1">
      <c r="A7" s="3" t="s">
        <v>732</v>
      </c>
      <c r="B7" s="3"/>
      <c r="C7" s="3"/>
      <c r="D7" s="3"/>
      <c r="E7" s="3"/>
    </row>
    <row r="8" ht="22.5" customHeight="1">
      <c r="A8" s="3" t="s">
        <v>736</v>
      </c>
      <c r="B8" s="3"/>
      <c r="C8" s="3"/>
      <c r="D8" s="3"/>
      <c r="E8" s="3"/>
    </row>
    <row r="9" ht="22.5" customHeight="1">
      <c r="A9" s="3" t="s">
        <v>741</v>
      </c>
      <c r="B9" s="3"/>
      <c r="C9" s="3"/>
      <c r="D9" s="3"/>
      <c r="E9" s="3"/>
    </row>
    <row r="10" ht="22.5" customHeight="1">
      <c r="A10" s="3" t="s">
        <v>742</v>
      </c>
      <c r="B10" s="3"/>
      <c r="C10" s="3"/>
      <c r="D10" s="3"/>
      <c r="E10" s="3"/>
    </row>
    <row r="11" ht="22.5" customHeight="1">
      <c r="A11" s="3" t="s">
        <v>743</v>
      </c>
      <c r="B11" s="3"/>
      <c r="C11" s="3"/>
      <c r="D11" s="3"/>
      <c r="E11" s="3"/>
    </row>
    <row r="12" ht="22.5" customHeight="1">
      <c r="A12" s="3" t="s">
        <v>744</v>
      </c>
      <c r="B12" s="3"/>
      <c r="C12" s="3"/>
      <c r="D12" s="3"/>
      <c r="E12" s="3"/>
    </row>
    <row r="13" ht="22.5" customHeight="1">
      <c r="A13" s="3" t="s">
        <v>745</v>
      </c>
      <c r="B13" s="3"/>
      <c r="C13" s="3"/>
      <c r="D13" s="3"/>
      <c r="E13" s="3"/>
    </row>
    <row r="14" ht="22.5" customHeight="1">
      <c r="A14" s="3" t="s">
        <v>746</v>
      </c>
      <c r="B14" s="3"/>
      <c r="C14" s="3"/>
      <c r="D14" s="3"/>
      <c r="E14" s="3"/>
    </row>
    <row r="15" ht="22.5" customHeight="1">
      <c r="A15" s="3" t="s">
        <v>56</v>
      </c>
      <c r="B15" s="3"/>
      <c r="C15" s="3"/>
      <c r="D15" s="3"/>
      <c r="E15" s="3"/>
    </row>
    <row r="16" ht="27.0" customHeight="1">
      <c r="A16" s="4" t="s">
        <v>747</v>
      </c>
      <c r="B16" s="4"/>
      <c r="C16" s="4"/>
      <c r="D16" s="4"/>
      <c r="E16" s="4"/>
    </row>
    <row r="17" ht="48.75" customHeight="1">
      <c r="A17" s="5" t="s">
        <v>750</v>
      </c>
      <c r="B17" s="5" t="s">
        <v>573</v>
      </c>
      <c r="C17" s="5" t="s">
        <v>751</v>
      </c>
      <c r="D17" s="5" t="s">
        <v>752</v>
      </c>
      <c r="E17" s="5" t="s">
        <v>753</v>
      </c>
    </row>
    <row r="18" ht="79.5" customHeight="1">
      <c r="A18" s="7" t="s">
        <v>754</v>
      </c>
      <c r="B18" s="16"/>
      <c r="C18" s="16"/>
      <c r="D18" s="16"/>
      <c r="E18" s="16"/>
    </row>
    <row r="19" ht="79.5" customHeight="1">
      <c r="A19" s="7" t="s">
        <v>755</v>
      </c>
      <c r="B19" s="16"/>
      <c r="C19" s="16"/>
      <c r="D19" s="16"/>
      <c r="E19" s="16"/>
    </row>
    <row r="20" ht="79.5" customHeight="1">
      <c r="A20" s="7" t="s">
        <v>354</v>
      </c>
      <c r="B20" s="16"/>
      <c r="C20" s="16"/>
      <c r="D20" s="16"/>
      <c r="E20" s="16"/>
    </row>
    <row r="21" ht="79.5" customHeight="1">
      <c r="A21" s="7" t="s">
        <v>756</v>
      </c>
      <c r="B21" s="16"/>
      <c r="C21" s="16"/>
      <c r="D21" s="16"/>
      <c r="E21" s="16"/>
    </row>
    <row r="22" ht="79.5" customHeight="1">
      <c r="A22" s="7" t="s">
        <v>758</v>
      </c>
      <c r="B22" s="16"/>
      <c r="C22" s="16"/>
      <c r="D22" s="16"/>
      <c r="E22" s="16"/>
    </row>
    <row r="23" ht="21.75" customHeight="1">
      <c r="A23" s="2"/>
      <c r="B23" s="2"/>
      <c r="C23" s="2"/>
      <c r="D23" s="2"/>
      <c r="E23" s="2"/>
    </row>
    <row r="24" ht="21.75" customHeight="1">
      <c r="A24" s="2"/>
      <c r="B24" s="2"/>
      <c r="C24" s="2"/>
      <c r="D24" s="2"/>
      <c r="E24" s="2"/>
    </row>
    <row r="25" ht="27.0" customHeight="1">
      <c r="A25" s="4" t="s">
        <v>759</v>
      </c>
      <c r="B25" s="4"/>
      <c r="C25" s="4"/>
      <c r="D25" s="4"/>
      <c r="E25" s="4"/>
    </row>
    <row r="26" ht="48.75" customHeight="1">
      <c r="A26" s="5" t="s">
        <v>760</v>
      </c>
      <c r="B26" s="5" t="s">
        <v>513</v>
      </c>
      <c r="C26" s="5" t="s">
        <v>761</v>
      </c>
      <c r="D26" s="5" t="s">
        <v>762</v>
      </c>
      <c r="E26" s="2"/>
    </row>
    <row r="27" ht="79.5" customHeight="1">
      <c r="A27" s="16"/>
      <c r="B27" s="16"/>
      <c r="C27" s="16"/>
      <c r="D27" s="16"/>
      <c r="E27" s="2"/>
    </row>
    <row r="28" ht="79.5" customHeight="1">
      <c r="A28" s="16"/>
      <c r="B28" s="16"/>
      <c r="C28" s="16"/>
      <c r="D28" s="16"/>
      <c r="E28" s="2"/>
    </row>
    <row r="29" ht="79.5" customHeight="1">
      <c r="A29" s="16"/>
      <c r="B29" s="16"/>
      <c r="C29" s="16"/>
      <c r="D29" s="16"/>
      <c r="E29" s="2"/>
    </row>
    <row r="30" ht="21.75" customHeight="1">
      <c r="A30" s="2"/>
      <c r="B30" s="2"/>
      <c r="C30" s="2"/>
      <c r="D30" s="2"/>
      <c r="E30" s="2"/>
    </row>
    <row r="31" ht="21.75" customHeight="1">
      <c r="A31" s="2"/>
      <c r="B31" s="2"/>
      <c r="C31" s="2"/>
      <c r="D31" s="2"/>
      <c r="E31" s="2"/>
    </row>
    <row r="32" ht="27.0" customHeight="1">
      <c r="A32" s="4" t="s">
        <v>764</v>
      </c>
      <c r="B32" s="4"/>
      <c r="C32" s="4"/>
      <c r="D32" s="4"/>
      <c r="E32" s="4"/>
    </row>
    <row r="33" ht="48.75" customHeight="1">
      <c r="A33" s="5" t="s">
        <v>766</v>
      </c>
      <c r="B33" s="5" t="s">
        <v>185</v>
      </c>
      <c r="C33" s="5" t="s">
        <v>767</v>
      </c>
      <c r="D33" s="5" t="s">
        <v>768</v>
      </c>
      <c r="E33" s="2"/>
    </row>
    <row r="34" ht="79.5" customHeight="1">
      <c r="A34" s="16"/>
      <c r="B34" s="16"/>
      <c r="C34" s="16"/>
      <c r="D34" s="16"/>
      <c r="E34" s="2"/>
    </row>
    <row r="35" ht="21.75" customHeight="1">
      <c r="A35" s="2"/>
      <c r="B35" s="2"/>
      <c r="C35" s="2"/>
      <c r="D35" s="2"/>
      <c r="E35" s="2"/>
    </row>
    <row r="36" ht="21.75" customHeight="1">
      <c r="A36" s="2"/>
      <c r="B36" s="2"/>
      <c r="C36" s="2"/>
      <c r="D36" s="2"/>
      <c r="E36" s="2"/>
    </row>
    <row r="37" ht="27.0" customHeight="1">
      <c r="A37" s="4" t="s">
        <v>212</v>
      </c>
      <c r="B37" s="4"/>
      <c r="C37" s="4"/>
      <c r="D37" s="4"/>
      <c r="E37" s="4"/>
    </row>
    <row r="38" ht="22.5" customHeight="1">
      <c r="A38" s="3" t="s">
        <v>777</v>
      </c>
      <c r="B38" s="3"/>
      <c r="C38" s="3"/>
      <c r="D38" s="3"/>
      <c r="E38" s="3"/>
    </row>
    <row r="39" ht="22.5" customHeight="1">
      <c r="A39" s="3" t="s">
        <v>780</v>
      </c>
      <c r="B39" s="3"/>
      <c r="C39" s="3"/>
      <c r="D39" s="3"/>
      <c r="E39" s="3"/>
    </row>
    <row r="40" ht="22.5" customHeight="1">
      <c r="A40" s="3" t="s">
        <v>783</v>
      </c>
      <c r="B40" s="3"/>
      <c r="C40" s="3"/>
      <c r="D40" s="3"/>
      <c r="E40" s="3"/>
    </row>
    <row r="41" ht="22.5" customHeight="1">
      <c r="A41" s="3" t="s">
        <v>785</v>
      </c>
      <c r="B41" s="3"/>
      <c r="C41" s="3"/>
      <c r="D41" s="3"/>
      <c r="E41" s="3"/>
    </row>
    <row r="42" ht="22.5" customHeight="1">
      <c r="A42" s="3" t="s">
        <v>788</v>
      </c>
      <c r="B42" s="3"/>
      <c r="C42" s="3"/>
      <c r="D42" s="3"/>
      <c r="E42" s="3"/>
    </row>
    <row r="43" ht="22.5" customHeight="1">
      <c r="A43" s="3" t="s">
        <v>792</v>
      </c>
      <c r="B43" s="3"/>
      <c r="C43" s="3"/>
      <c r="D43" s="3"/>
      <c r="E43" s="3"/>
    </row>
    <row r="44" ht="22.5" customHeight="1">
      <c r="A44" s="3" t="s">
        <v>795</v>
      </c>
      <c r="B44" s="3"/>
      <c r="C44" s="3"/>
      <c r="D44" s="3"/>
      <c r="E44" s="3"/>
    </row>
    <row r="45" ht="22.5" customHeight="1">
      <c r="A45" s="3" t="s">
        <v>797</v>
      </c>
      <c r="B45" s="3"/>
      <c r="C45" s="3"/>
      <c r="D45" s="3"/>
      <c r="E45" s="3"/>
    </row>
    <row r="46" ht="22.5" customHeight="1">
      <c r="A46" s="3" t="s">
        <v>799</v>
      </c>
      <c r="B46" s="3"/>
      <c r="C46" s="3"/>
      <c r="D46" s="3"/>
      <c r="E46" s="3"/>
    </row>
    <row r="47" ht="22.5" customHeight="1">
      <c r="A47" s="3" t="s">
        <v>802</v>
      </c>
      <c r="B47" s="3"/>
      <c r="C47" s="3"/>
      <c r="D47" s="3"/>
      <c r="E47" s="3"/>
    </row>
    <row r="48" ht="22.5" customHeight="1">
      <c r="A48" s="3" t="s">
        <v>805</v>
      </c>
      <c r="B48" s="3"/>
      <c r="C48" s="3"/>
      <c r="D48" s="3"/>
      <c r="E48" s="3"/>
    </row>
    <row r="49" ht="22.5" customHeight="1">
      <c r="A49" s="3" t="s">
        <v>808</v>
      </c>
      <c r="B49" s="3"/>
      <c r="C49" s="3"/>
      <c r="D49" s="3"/>
      <c r="E49" s="3"/>
    </row>
    <row r="50" ht="22.5" customHeight="1">
      <c r="A50" s="3" t="s">
        <v>811</v>
      </c>
      <c r="B50" s="3"/>
      <c r="C50" s="3"/>
      <c r="D50" s="3"/>
      <c r="E50" s="3"/>
    </row>
    <row r="51" ht="22.5" customHeight="1">
      <c r="A51" s="3" t="s">
        <v>814</v>
      </c>
      <c r="B51" s="3"/>
      <c r="C51" s="3"/>
      <c r="D51" s="3"/>
      <c r="E51" s="3"/>
    </row>
    <row r="52" ht="27.0" customHeight="1">
      <c r="A52" s="4" t="s">
        <v>392</v>
      </c>
      <c r="B52" s="4"/>
      <c r="C52" s="4"/>
      <c r="D52" s="4"/>
      <c r="E52" s="4"/>
    </row>
    <row r="53" ht="22.5" customHeight="1">
      <c r="A53" s="10" t="s">
        <v>819</v>
      </c>
      <c r="B53" s="10"/>
      <c r="C53" s="10"/>
      <c r="D53" s="10"/>
      <c r="E53" s="10"/>
    </row>
    <row r="54" ht="22.5" customHeight="1">
      <c r="A54" s="3" t="s">
        <v>821</v>
      </c>
      <c r="B54" s="3"/>
      <c r="C54" s="3"/>
      <c r="D54" s="3"/>
      <c r="E54" s="3"/>
    </row>
    <row r="55" ht="22.5" customHeight="1">
      <c r="A55" s="3" t="s">
        <v>824</v>
      </c>
      <c r="B55" s="3"/>
      <c r="C55" s="3"/>
      <c r="D55" s="3"/>
      <c r="E55" s="3"/>
    </row>
    <row r="56" ht="22.5" customHeight="1">
      <c r="A56" s="3" t="s">
        <v>827</v>
      </c>
      <c r="B56" s="3"/>
      <c r="C56" s="3"/>
      <c r="D56" s="3"/>
      <c r="E56" s="3"/>
    </row>
    <row r="57" ht="22.5" customHeight="1">
      <c r="A57" s="3" t="s">
        <v>830</v>
      </c>
      <c r="B57" s="3"/>
      <c r="C57" s="3"/>
      <c r="D57" s="3"/>
      <c r="E57" s="3"/>
    </row>
    <row r="58" ht="22.5" customHeight="1">
      <c r="A58" s="3" t="s">
        <v>834</v>
      </c>
      <c r="B58" s="3"/>
      <c r="C58" s="3"/>
      <c r="D58" s="3"/>
      <c r="E58" s="3"/>
    </row>
    <row r="59" ht="22.5" customHeight="1">
      <c r="A59" s="3" t="s">
        <v>837</v>
      </c>
      <c r="B59" s="3"/>
      <c r="C59" s="3"/>
      <c r="D59" s="3"/>
      <c r="E59" s="3"/>
    </row>
    <row r="60" ht="22.5" customHeight="1">
      <c r="A60" s="3" t="s">
        <v>842</v>
      </c>
      <c r="B60" s="3"/>
      <c r="C60" s="3"/>
      <c r="D60" s="3"/>
      <c r="E60" s="3"/>
    </row>
    <row r="61" ht="27.0" customHeight="1">
      <c r="A61" s="4" t="s">
        <v>846</v>
      </c>
      <c r="B61" s="4"/>
      <c r="C61" s="4"/>
      <c r="D61" s="4"/>
      <c r="E61" s="4"/>
    </row>
    <row r="62" ht="48.75" customHeight="1">
      <c r="A62" s="5" t="s">
        <v>472</v>
      </c>
      <c r="B62" s="5" t="s">
        <v>851</v>
      </c>
      <c r="C62" s="5" t="s">
        <v>853</v>
      </c>
      <c r="D62" s="5" t="s">
        <v>854</v>
      </c>
      <c r="E62" s="2"/>
    </row>
    <row r="63" ht="72.0" customHeight="1">
      <c r="A63" s="15" t="s">
        <v>857</v>
      </c>
      <c r="B63" s="15" t="s">
        <v>859</v>
      </c>
      <c r="C63" s="15" t="s">
        <v>860</v>
      </c>
      <c r="D63" s="15" t="s">
        <v>863</v>
      </c>
      <c r="E63" s="2"/>
    </row>
    <row r="64" ht="72.0" customHeight="1">
      <c r="A64" s="15" t="s">
        <v>865</v>
      </c>
      <c r="B64" s="15" t="s">
        <v>867</v>
      </c>
      <c r="C64" s="15" t="s">
        <v>868</v>
      </c>
      <c r="D64" s="15" t="s">
        <v>869</v>
      </c>
      <c r="E64" s="2"/>
    </row>
    <row r="65" ht="57.0" customHeight="1">
      <c r="A65" s="15" t="s">
        <v>873</v>
      </c>
      <c r="B65" s="15" t="s">
        <v>874</v>
      </c>
      <c r="C65" s="15" t="s">
        <v>875</v>
      </c>
      <c r="D65" s="15" t="s">
        <v>877</v>
      </c>
      <c r="E65" s="2"/>
    </row>
    <row r="66" ht="57.0" customHeight="1">
      <c r="A66" s="15" t="s">
        <v>881</v>
      </c>
      <c r="B66" s="15" t="s">
        <v>882</v>
      </c>
      <c r="C66" s="15" t="s">
        <v>883</v>
      </c>
      <c r="D66" s="15" t="s">
        <v>885</v>
      </c>
      <c r="E66" s="2"/>
    </row>
    <row r="67" ht="72.0" customHeight="1">
      <c r="A67" s="15" t="s">
        <v>887</v>
      </c>
      <c r="B67" s="15" t="s">
        <v>889</v>
      </c>
      <c r="C67" s="15" t="s">
        <v>891</v>
      </c>
      <c r="D67" s="15" t="s">
        <v>892</v>
      </c>
      <c r="E67" s="2"/>
    </row>
    <row r="68" ht="57.0" customHeight="1">
      <c r="A68" s="15" t="s">
        <v>894</v>
      </c>
      <c r="B68" s="15" t="s">
        <v>895</v>
      </c>
      <c r="C68" s="15" t="s">
        <v>897</v>
      </c>
      <c r="D68" s="15" t="s">
        <v>898</v>
      </c>
      <c r="E68" s="2"/>
    </row>
    <row r="69" ht="42.0" customHeight="1">
      <c r="A69" s="15" t="s">
        <v>901</v>
      </c>
      <c r="B69" s="15" t="s">
        <v>895</v>
      </c>
      <c r="C69" s="15" t="s">
        <v>902</v>
      </c>
      <c r="D69" s="15" t="s">
        <v>904</v>
      </c>
      <c r="E69" s="2"/>
    </row>
    <row r="70" ht="21.75" customHeight="1">
      <c r="A70" s="2"/>
      <c r="B70" s="2"/>
      <c r="C70" s="2"/>
      <c r="D70" s="2"/>
      <c r="E70" s="2"/>
    </row>
    <row r="71" ht="21.75" customHeight="1">
      <c r="A71" s="2"/>
      <c r="B71" s="2"/>
      <c r="C71" s="2"/>
      <c r="D71" s="2"/>
      <c r="E71" s="2"/>
    </row>
    <row r="72" ht="22.5" customHeight="1">
      <c r="A72" s="3" t="s">
        <v>263</v>
      </c>
      <c r="B72" s="3"/>
      <c r="C72" s="3"/>
      <c r="D72" s="3"/>
      <c r="E72" s="3"/>
    </row>
    <row r="73" ht="21.75" customHeight="1">
      <c r="A73" s="2"/>
      <c r="B73" s="2"/>
      <c r="C73" s="2"/>
      <c r="D73" s="2"/>
      <c r="E73" s="2"/>
    </row>
    <row r="74" ht="21.75" customHeight="1">
      <c r="A74" s="6" t="s">
        <v>266</v>
      </c>
      <c r="B74" s="2"/>
      <c r="C74" s="2"/>
      <c r="D74" s="2"/>
      <c r="E74" s="2"/>
    </row>
    <row r="75" ht="22.5" customHeight="1">
      <c r="A75" s="3" t="s">
        <v>273</v>
      </c>
      <c r="B75" s="3"/>
      <c r="C75" s="3"/>
      <c r="D75" s="3"/>
      <c r="E75" s="3"/>
    </row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8_Экономика'!A1" ref="A74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9.0"/>
    <col customWidth="1" min="2" max="2" width="12.0"/>
    <col customWidth="1" min="3" max="3" width="17.0"/>
    <col customWidth="1" min="4" max="4" width="14.0"/>
    <col customWidth="1" min="5" max="5" width="17.0"/>
    <col customWidth="1" min="6" max="6" width="12.0"/>
    <col customWidth="1" min="7" max="7" width="14.0"/>
    <col customWidth="1" min="8" max="8" width="31.0"/>
    <col customWidth="1" min="9" max="26" width="8.63"/>
  </cols>
  <sheetData>
    <row r="1" ht="28.5" customHeight="1">
      <c r="A1" s="1" t="s">
        <v>801</v>
      </c>
      <c r="B1" s="1"/>
      <c r="C1" s="1"/>
      <c r="D1" s="1"/>
      <c r="E1" s="1"/>
      <c r="F1" s="1"/>
      <c r="G1" s="1"/>
      <c r="H1" s="1"/>
    </row>
    <row r="2" ht="21.75" customHeight="1">
      <c r="A2" s="2"/>
      <c r="B2" s="2"/>
      <c r="C2" s="2"/>
      <c r="D2" s="2"/>
      <c r="E2" s="2"/>
      <c r="F2" s="2"/>
      <c r="G2" s="2"/>
      <c r="H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  <c r="G3" s="2"/>
      <c r="H3" s="2"/>
    </row>
    <row r="4" ht="21.75" customHeight="1">
      <c r="A4" s="2"/>
      <c r="B4" s="2"/>
      <c r="C4" s="2"/>
      <c r="D4" s="2"/>
      <c r="E4" s="2"/>
      <c r="F4" s="2"/>
      <c r="G4" s="2"/>
      <c r="H4" s="2"/>
    </row>
    <row r="5" ht="22.5" customHeight="1">
      <c r="A5" s="10" t="s">
        <v>831</v>
      </c>
      <c r="B5" s="10"/>
      <c r="C5" s="10"/>
      <c r="D5" s="10"/>
      <c r="E5" s="10"/>
      <c r="F5" s="10"/>
      <c r="G5" s="10"/>
      <c r="H5" s="10"/>
    </row>
    <row r="6" ht="22.5" customHeight="1">
      <c r="A6" s="3" t="s">
        <v>835</v>
      </c>
      <c r="B6" s="3"/>
      <c r="C6" s="3"/>
      <c r="D6" s="3"/>
      <c r="E6" s="3"/>
      <c r="F6" s="3"/>
      <c r="G6" s="3"/>
      <c r="H6" s="3"/>
    </row>
    <row r="7" ht="22.5" customHeight="1">
      <c r="A7" s="3" t="s">
        <v>838</v>
      </c>
      <c r="B7" s="3"/>
      <c r="C7" s="3"/>
      <c r="D7" s="3"/>
      <c r="E7" s="3"/>
      <c r="F7" s="3"/>
      <c r="G7" s="3"/>
      <c r="H7" s="3"/>
    </row>
    <row r="8" ht="22.5" customHeight="1">
      <c r="A8" s="3" t="s">
        <v>840</v>
      </c>
      <c r="B8" s="3"/>
      <c r="C8" s="3"/>
      <c r="D8" s="3"/>
      <c r="E8" s="3"/>
      <c r="F8" s="3"/>
      <c r="G8" s="3"/>
      <c r="H8" s="3"/>
    </row>
    <row r="9" ht="22.5" customHeight="1">
      <c r="A9" s="3" t="s">
        <v>845</v>
      </c>
      <c r="B9" s="3"/>
      <c r="C9" s="3"/>
      <c r="D9" s="3"/>
      <c r="E9" s="3"/>
      <c r="F9" s="3"/>
      <c r="G9" s="3"/>
      <c r="H9" s="3"/>
    </row>
    <row r="10" ht="22.5" customHeight="1">
      <c r="A10" s="3" t="s">
        <v>847</v>
      </c>
      <c r="B10" s="3"/>
      <c r="C10" s="3"/>
      <c r="D10" s="3"/>
      <c r="E10" s="3"/>
      <c r="F10" s="3"/>
      <c r="G10" s="3"/>
      <c r="H10" s="3"/>
    </row>
    <row r="11" ht="22.5" customHeight="1">
      <c r="A11" s="3" t="s">
        <v>850</v>
      </c>
      <c r="B11" s="3"/>
      <c r="C11" s="3"/>
      <c r="D11" s="3"/>
      <c r="E11" s="3"/>
      <c r="F11" s="3"/>
      <c r="G11" s="3"/>
      <c r="H11" s="3"/>
    </row>
    <row r="12" ht="22.5" customHeight="1">
      <c r="A12" s="3" t="s">
        <v>855</v>
      </c>
      <c r="B12" s="3"/>
      <c r="C12" s="3"/>
      <c r="D12" s="3"/>
      <c r="E12" s="3"/>
      <c r="F12" s="3"/>
      <c r="G12" s="3"/>
      <c r="H12" s="3"/>
    </row>
    <row r="13" ht="22.5" customHeight="1">
      <c r="A13" s="3" t="s">
        <v>858</v>
      </c>
      <c r="B13" s="3"/>
      <c r="C13" s="3"/>
      <c r="D13" s="3"/>
      <c r="E13" s="3"/>
      <c r="F13" s="3"/>
      <c r="G13" s="3"/>
      <c r="H13" s="3"/>
    </row>
    <row r="14" ht="22.5" customHeight="1">
      <c r="A14" s="3" t="s">
        <v>861</v>
      </c>
      <c r="B14" s="3"/>
      <c r="C14" s="3"/>
      <c r="D14" s="3"/>
      <c r="E14" s="3"/>
      <c r="F14" s="3"/>
      <c r="G14" s="3"/>
      <c r="H14" s="3"/>
    </row>
    <row r="15" ht="22.5" customHeight="1">
      <c r="A15" s="3" t="s">
        <v>864</v>
      </c>
      <c r="B15" s="3"/>
      <c r="C15" s="3"/>
      <c r="D15" s="3"/>
      <c r="E15" s="3"/>
      <c r="F15" s="3"/>
      <c r="G15" s="3"/>
      <c r="H15" s="3"/>
    </row>
    <row r="16" ht="22.5" customHeight="1">
      <c r="A16" s="3" t="s">
        <v>56</v>
      </c>
      <c r="B16" s="3"/>
      <c r="C16" s="3"/>
      <c r="D16" s="3"/>
      <c r="E16" s="3"/>
      <c r="F16" s="3"/>
      <c r="G16" s="3"/>
      <c r="H16" s="3"/>
    </row>
    <row r="17" ht="27.0" customHeight="1">
      <c r="A17" s="4" t="s">
        <v>871</v>
      </c>
      <c r="B17" s="4"/>
      <c r="C17" s="4"/>
      <c r="D17" s="4"/>
      <c r="E17" s="4"/>
      <c r="F17" s="4"/>
      <c r="G17" s="4"/>
      <c r="H17" s="4"/>
    </row>
    <row r="18" ht="48.75" customHeight="1">
      <c r="A18" s="5" t="s">
        <v>876</v>
      </c>
      <c r="B18" s="5" t="s">
        <v>878</v>
      </c>
      <c r="C18" s="5" t="s">
        <v>880</v>
      </c>
      <c r="D18" s="5" t="s">
        <v>513</v>
      </c>
      <c r="E18" s="2"/>
      <c r="F18" s="2"/>
      <c r="G18" s="2"/>
      <c r="H18" s="2"/>
    </row>
    <row r="19" ht="109.5" customHeight="1">
      <c r="A19" s="26" t="s">
        <v>884</v>
      </c>
      <c r="B19" s="16"/>
      <c r="C19" s="16"/>
      <c r="D19" s="16"/>
      <c r="E19" s="2"/>
      <c r="F19" s="2"/>
      <c r="G19" s="2"/>
      <c r="H19" s="2"/>
    </row>
    <row r="20" ht="109.5" customHeight="1">
      <c r="A20" s="26" t="s">
        <v>890</v>
      </c>
      <c r="B20" s="16"/>
      <c r="C20" s="16"/>
      <c r="D20" s="16"/>
      <c r="E20" s="2"/>
      <c r="F20" s="2"/>
      <c r="G20" s="2"/>
      <c r="H20" s="2"/>
    </row>
    <row r="21" ht="109.5" customHeight="1">
      <c r="A21" s="26" t="s">
        <v>893</v>
      </c>
      <c r="B21" s="16"/>
      <c r="C21" s="16"/>
      <c r="D21" s="16"/>
      <c r="E21" s="2"/>
      <c r="F21" s="2"/>
      <c r="G21" s="2"/>
      <c r="H21" s="2"/>
    </row>
    <row r="22" ht="109.5" customHeight="1">
      <c r="A22" s="26" t="s">
        <v>896</v>
      </c>
      <c r="B22" s="16"/>
      <c r="C22" s="16"/>
      <c r="D22" s="16"/>
      <c r="E22" s="2"/>
      <c r="F22" s="2"/>
      <c r="G22" s="2"/>
      <c r="H22" s="2"/>
    </row>
    <row r="23" ht="109.5" customHeight="1">
      <c r="A23" s="26" t="s">
        <v>900</v>
      </c>
      <c r="B23" s="16"/>
      <c r="C23" s="16"/>
      <c r="D23" s="16"/>
      <c r="E23" s="2"/>
      <c r="F23" s="2"/>
      <c r="G23" s="2"/>
      <c r="H23" s="2"/>
    </row>
    <row r="24" ht="109.5" customHeight="1">
      <c r="A24" s="26" t="s">
        <v>903</v>
      </c>
      <c r="B24" s="16"/>
      <c r="C24" s="16"/>
      <c r="D24" s="16"/>
      <c r="E24" s="2"/>
      <c r="F24" s="2"/>
      <c r="G24" s="2"/>
      <c r="H24" s="2"/>
    </row>
    <row r="25" ht="21.75" customHeight="1">
      <c r="A25" s="2"/>
      <c r="B25" s="2"/>
      <c r="C25" s="2"/>
      <c r="D25" s="2"/>
      <c r="E25" s="2"/>
      <c r="F25" s="2"/>
      <c r="G25" s="2"/>
      <c r="H25" s="2"/>
    </row>
    <row r="26" ht="21.75" customHeight="1">
      <c r="A26" s="2"/>
      <c r="B26" s="2"/>
      <c r="C26" s="2"/>
      <c r="D26" s="2"/>
      <c r="E26" s="2"/>
      <c r="F26" s="2"/>
      <c r="G26" s="2"/>
      <c r="H26" s="2"/>
    </row>
    <row r="27" ht="27.0" customHeight="1">
      <c r="A27" s="4" t="s">
        <v>912</v>
      </c>
      <c r="B27" s="4"/>
      <c r="C27" s="4"/>
      <c r="D27" s="4"/>
      <c r="E27" s="4"/>
      <c r="F27" s="4"/>
      <c r="G27" s="4"/>
      <c r="H27" s="4"/>
    </row>
    <row r="28" ht="48.75" customHeight="1">
      <c r="A28" s="5" t="s">
        <v>915</v>
      </c>
      <c r="B28" s="5" t="s">
        <v>916</v>
      </c>
      <c r="C28" s="5" t="s">
        <v>360</v>
      </c>
      <c r="D28" s="5" t="s">
        <v>918</v>
      </c>
      <c r="E28" s="5" t="s">
        <v>919</v>
      </c>
      <c r="F28" s="5" t="s">
        <v>920</v>
      </c>
      <c r="G28" s="5" t="s">
        <v>922</v>
      </c>
      <c r="H28" s="5" t="s">
        <v>480</v>
      </c>
    </row>
    <row r="29" ht="79.5" customHeight="1">
      <c r="A29" s="7" t="s">
        <v>925</v>
      </c>
      <c r="B29" s="34">
        <v>0.4</v>
      </c>
      <c r="C29" s="32">
        <v>0.6</v>
      </c>
      <c r="D29" s="31">
        <f t="shared" ref="D29:D31" si="1">IF(COUNT(B29:C29)&lt;2,"",B29*C29)</f>
        <v>0.24</v>
      </c>
      <c r="E29" s="32">
        <v>0.08</v>
      </c>
      <c r="F29" s="35">
        <v>0.15</v>
      </c>
      <c r="G29" s="31">
        <f t="shared" ref="G29:G31" si="2">IF(COUNT(C29,F29)&lt;2,"",C29*F29)</f>
        <v>0.09</v>
      </c>
      <c r="H29" s="16"/>
    </row>
    <row r="30" ht="79.5" customHeight="1">
      <c r="A30" s="7" t="s">
        <v>941</v>
      </c>
      <c r="B30" s="35">
        <v>0.1</v>
      </c>
      <c r="C30" s="32">
        <v>1.5</v>
      </c>
      <c r="D30" s="31">
        <f t="shared" si="1"/>
        <v>0.15</v>
      </c>
      <c r="E30" s="32">
        <v>0.0</v>
      </c>
      <c r="F30" s="35">
        <v>0.1</v>
      </c>
      <c r="G30" s="31">
        <f t="shared" si="2"/>
        <v>0.15</v>
      </c>
      <c r="H30" s="16"/>
    </row>
    <row r="31" ht="79.5" customHeight="1">
      <c r="A31" s="7" t="s">
        <v>942</v>
      </c>
      <c r="B31" s="35">
        <v>0.3</v>
      </c>
      <c r="C31" s="32">
        <v>-0.3</v>
      </c>
      <c r="D31" s="31">
        <f t="shared" si="1"/>
        <v>-0.09</v>
      </c>
      <c r="E31" s="32">
        <v>0.0</v>
      </c>
      <c r="F31" s="35">
        <v>0.3</v>
      </c>
      <c r="G31" s="31">
        <f t="shared" si="2"/>
        <v>-0.09</v>
      </c>
      <c r="H31" s="16"/>
    </row>
    <row r="32" ht="79.5" customHeight="1">
      <c r="A32" s="7" t="s">
        <v>944</v>
      </c>
      <c r="B32" s="35">
        <v>0.25</v>
      </c>
      <c r="C32" s="32">
        <v>0.2</v>
      </c>
      <c r="D32" s="32"/>
      <c r="E32" s="32">
        <v>0.02</v>
      </c>
      <c r="F32" s="35">
        <v>0.1</v>
      </c>
      <c r="G32" s="32"/>
      <c r="H32" s="16"/>
    </row>
    <row r="33" ht="21.75" customHeight="1">
      <c r="A33" s="2"/>
      <c r="B33" s="2"/>
      <c r="C33" s="2"/>
      <c r="D33" s="2"/>
      <c r="E33" s="2"/>
      <c r="F33" s="2"/>
      <c r="G33" s="2"/>
      <c r="H33" s="2"/>
    </row>
    <row r="34" ht="21.75" customHeight="1">
      <c r="A34" s="2"/>
      <c r="B34" s="2"/>
      <c r="C34" s="2"/>
      <c r="D34" s="2"/>
      <c r="E34" s="2"/>
      <c r="F34" s="2"/>
      <c r="G34" s="2"/>
      <c r="H34" s="2"/>
    </row>
    <row r="35" ht="27.0" customHeight="1">
      <c r="A35" s="4" t="s">
        <v>946</v>
      </c>
      <c r="B35" s="4"/>
      <c r="C35" s="4"/>
      <c r="D35" s="4"/>
      <c r="E35" s="4"/>
      <c r="F35" s="4"/>
      <c r="G35" s="4"/>
      <c r="H35" s="4"/>
    </row>
    <row r="36" ht="48.75" customHeight="1">
      <c r="A36" s="5" t="s">
        <v>915</v>
      </c>
      <c r="B36" s="5" t="s">
        <v>947</v>
      </c>
      <c r="C36" s="5" t="s">
        <v>949</v>
      </c>
      <c r="D36" s="5" t="s">
        <v>950</v>
      </c>
      <c r="E36" s="5" t="s">
        <v>951</v>
      </c>
      <c r="F36" s="2"/>
      <c r="G36" s="2"/>
      <c r="H36" s="2"/>
    </row>
    <row r="37" ht="79.5" customHeight="1">
      <c r="A37" s="26" t="s">
        <v>952</v>
      </c>
      <c r="B37" s="16"/>
      <c r="C37" s="16"/>
      <c r="D37" s="16"/>
      <c r="E37" s="16"/>
      <c r="F37" s="2"/>
      <c r="G37" s="2"/>
      <c r="H37" s="2"/>
    </row>
    <row r="38" ht="79.5" customHeight="1">
      <c r="A38" s="26" t="s">
        <v>954</v>
      </c>
      <c r="B38" s="16"/>
      <c r="C38" s="16"/>
      <c r="D38" s="16"/>
      <c r="E38" s="16"/>
      <c r="F38" s="2"/>
      <c r="G38" s="2"/>
      <c r="H38" s="2"/>
    </row>
    <row r="39" ht="21.75" customHeight="1">
      <c r="A39" s="2"/>
      <c r="B39" s="2"/>
      <c r="C39" s="2"/>
      <c r="D39" s="2"/>
      <c r="E39" s="2"/>
      <c r="F39" s="2"/>
      <c r="G39" s="2"/>
      <c r="H39" s="2"/>
    </row>
    <row r="40" ht="21.75" customHeight="1">
      <c r="A40" s="2"/>
      <c r="B40" s="2"/>
      <c r="C40" s="2"/>
      <c r="D40" s="2"/>
      <c r="E40" s="2"/>
      <c r="F40" s="2"/>
      <c r="G40" s="2"/>
      <c r="H40" s="2"/>
    </row>
    <row r="41" ht="27.0" customHeight="1">
      <c r="A41" s="4" t="s">
        <v>957</v>
      </c>
      <c r="B41" s="4"/>
      <c r="C41" s="4"/>
      <c r="D41" s="4"/>
      <c r="E41" s="4"/>
      <c r="F41" s="4"/>
      <c r="G41" s="4"/>
      <c r="H41" s="4"/>
    </row>
    <row r="42" ht="48.75" customHeight="1">
      <c r="A42" s="5" t="s">
        <v>959</v>
      </c>
      <c r="B42" s="5" t="s">
        <v>960</v>
      </c>
      <c r="C42" s="5" t="s">
        <v>961</v>
      </c>
      <c r="D42" s="2"/>
      <c r="E42" s="2"/>
      <c r="F42" s="2"/>
      <c r="G42" s="2"/>
      <c r="H42" s="2"/>
    </row>
    <row r="43" ht="79.5" customHeight="1">
      <c r="A43" s="36">
        <v>0.25</v>
      </c>
      <c r="B43" s="16"/>
      <c r="C43" s="16"/>
      <c r="D43" s="2"/>
      <c r="E43" s="2"/>
      <c r="F43" s="2"/>
      <c r="G43" s="2"/>
      <c r="H43" s="2"/>
    </row>
    <row r="44" ht="21.75" customHeight="1">
      <c r="A44" s="2"/>
      <c r="B44" s="2"/>
      <c r="C44" s="2"/>
      <c r="D44" s="2"/>
      <c r="E44" s="2"/>
      <c r="F44" s="2"/>
      <c r="G44" s="2"/>
      <c r="H44" s="2"/>
    </row>
    <row r="45" ht="21.75" customHeight="1">
      <c r="A45" s="2"/>
      <c r="B45" s="2"/>
      <c r="C45" s="2"/>
      <c r="D45" s="2"/>
      <c r="E45" s="2"/>
      <c r="F45" s="2"/>
      <c r="G45" s="2"/>
      <c r="H45" s="2"/>
    </row>
    <row r="46" ht="27.0" customHeight="1">
      <c r="A46" s="4" t="s">
        <v>212</v>
      </c>
      <c r="B46" s="4"/>
      <c r="C46" s="4"/>
      <c r="D46" s="4"/>
      <c r="E46" s="4"/>
      <c r="F46" s="4"/>
      <c r="G46" s="4"/>
      <c r="H46" s="4"/>
    </row>
    <row r="47" ht="22.5" customHeight="1">
      <c r="A47" s="3" t="s">
        <v>966</v>
      </c>
      <c r="B47" s="3"/>
      <c r="C47" s="3"/>
      <c r="D47" s="3"/>
      <c r="E47" s="3"/>
      <c r="F47" s="3"/>
      <c r="G47" s="3"/>
      <c r="H47" s="3"/>
    </row>
    <row r="48" ht="22.5" customHeight="1">
      <c r="A48" s="3" t="s">
        <v>968</v>
      </c>
      <c r="B48" s="3"/>
      <c r="C48" s="3"/>
      <c r="D48" s="3"/>
      <c r="E48" s="3"/>
      <c r="F48" s="3"/>
      <c r="G48" s="3"/>
      <c r="H48" s="3"/>
    </row>
    <row r="49" ht="22.5" customHeight="1">
      <c r="A49" s="3" t="s">
        <v>969</v>
      </c>
      <c r="B49" s="3"/>
      <c r="C49" s="3"/>
      <c r="D49" s="3"/>
      <c r="E49" s="3"/>
      <c r="F49" s="3"/>
      <c r="G49" s="3"/>
      <c r="H49" s="3"/>
    </row>
    <row r="50" ht="22.5" customHeight="1">
      <c r="A50" s="3" t="s">
        <v>971</v>
      </c>
      <c r="B50" s="3"/>
      <c r="C50" s="3"/>
      <c r="D50" s="3"/>
      <c r="E50" s="3"/>
      <c r="F50" s="3"/>
      <c r="G50" s="3"/>
      <c r="H50" s="3"/>
    </row>
    <row r="51" ht="22.5" customHeight="1">
      <c r="A51" s="3" t="s">
        <v>972</v>
      </c>
      <c r="B51" s="3"/>
      <c r="C51" s="3"/>
      <c r="D51" s="3"/>
      <c r="E51" s="3"/>
      <c r="F51" s="3"/>
      <c r="G51" s="3"/>
      <c r="H51" s="3"/>
    </row>
    <row r="52" ht="22.5" customHeight="1">
      <c r="A52" s="3" t="s">
        <v>973</v>
      </c>
      <c r="B52" s="3"/>
      <c r="C52" s="3"/>
      <c r="D52" s="3"/>
      <c r="E52" s="3"/>
      <c r="F52" s="3"/>
      <c r="G52" s="3"/>
      <c r="H52" s="3"/>
    </row>
    <row r="53" ht="22.5" customHeight="1">
      <c r="A53" s="3" t="s">
        <v>975</v>
      </c>
      <c r="B53" s="3"/>
      <c r="C53" s="3"/>
      <c r="D53" s="3"/>
      <c r="E53" s="3"/>
      <c r="F53" s="3"/>
      <c r="G53" s="3"/>
      <c r="H53" s="3"/>
    </row>
    <row r="54" ht="22.5" customHeight="1">
      <c r="A54" s="3" t="s">
        <v>976</v>
      </c>
      <c r="B54" s="3"/>
      <c r="C54" s="3"/>
      <c r="D54" s="3"/>
      <c r="E54" s="3"/>
      <c r="F54" s="3"/>
      <c r="G54" s="3"/>
      <c r="H54" s="3"/>
    </row>
    <row r="55" ht="22.5" customHeight="1">
      <c r="A55" s="3" t="s">
        <v>978</v>
      </c>
      <c r="B55" s="3"/>
      <c r="C55" s="3"/>
      <c r="D55" s="3"/>
      <c r="E55" s="3"/>
      <c r="F55" s="3"/>
      <c r="G55" s="3"/>
      <c r="H55" s="3"/>
    </row>
    <row r="56" ht="22.5" customHeight="1">
      <c r="A56" s="3" t="s">
        <v>979</v>
      </c>
      <c r="B56" s="3"/>
      <c r="C56" s="3"/>
      <c r="D56" s="3"/>
      <c r="E56" s="3"/>
      <c r="F56" s="3"/>
      <c r="G56" s="3"/>
      <c r="H56" s="3"/>
    </row>
    <row r="57" ht="22.5" customHeight="1">
      <c r="A57" s="3" t="s">
        <v>980</v>
      </c>
      <c r="B57" s="3"/>
      <c r="C57" s="3"/>
      <c r="D57" s="3"/>
      <c r="E57" s="3"/>
      <c r="F57" s="3"/>
      <c r="G57" s="3"/>
      <c r="H57" s="3"/>
    </row>
    <row r="58" ht="22.5" customHeight="1">
      <c r="A58" s="3" t="s">
        <v>981</v>
      </c>
      <c r="B58" s="3"/>
      <c r="C58" s="3"/>
      <c r="D58" s="3"/>
      <c r="E58" s="3"/>
      <c r="F58" s="3"/>
      <c r="G58" s="3"/>
      <c r="H58" s="3"/>
    </row>
    <row r="59" ht="22.5" customHeight="1">
      <c r="A59" s="3" t="s">
        <v>982</v>
      </c>
      <c r="B59" s="3"/>
      <c r="C59" s="3"/>
      <c r="D59" s="3"/>
      <c r="E59" s="3"/>
      <c r="F59" s="3"/>
      <c r="G59" s="3"/>
      <c r="H59" s="3"/>
    </row>
    <row r="60" ht="22.5" customHeight="1">
      <c r="A60" s="3" t="s">
        <v>983</v>
      </c>
      <c r="B60" s="3"/>
      <c r="C60" s="3"/>
      <c r="D60" s="3"/>
      <c r="E60" s="3"/>
      <c r="F60" s="3"/>
      <c r="G60" s="3"/>
      <c r="H60" s="3"/>
    </row>
    <row r="61" ht="22.5" customHeight="1">
      <c r="A61" s="3" t="s">
        <v>984</v>
      </c>
      <c r="B61" s="3"/>
      <c r="C61" s="3"/>
      <c r="D61" s="3"/>
      <c r="E61" s="3"/>
      <c r="F61" s="3"/>
      <c r="G61" s="3"/>
      <c r="H61" s="3"/>
    </row>
    <row r="62" ht="27.0" customHeight="1">
      <c r="A62" s="4" t="s">
        <v>392</v>
      </c>
      <c r="B62" s="4"/>
      <c r="C62" s="4"/>
      <c r="D62" s="4"/>
      <c r="E62" s="4"/>
      <c r="F62" s="4"/>
      <c r="G62" s="4"/>
      <c r="H62" s="4"/>
    </row>
    <row r="63" ht="22.5" customHeight="1">
      <c r="A63" s="10" t="s">
        <v>985</v>
      </c>
      <c r="B63" s="10"/>
      <c r="C63" s="10"/>
      <c r="D63" s="10"/>
      <c r="E63" s="10"/>
      <c r="F63" s="10"/>
      <c r="G63" s="10"/>
      <c r="H63" s="10"/>
    </row>
    <row r="64" ht="22.5" customHeight="1">
      <c r="A64" s="3" t="s">
        <v>986</v>
      </c>
      <c r="B64" s="3"/>
      <c r="C64" s="3"/>
      <c r="D64" s="3"/>
      <c r="E64" s="3"/>
      <c r="F64" s="3"/>
      <c r="G64" s="3"/>
      <c r="H64" s="3"/>
    </row>
    <row r="65" ht="22.5" customHeight="1">
      <c r="A65" s="3" t="s">
        <v>987</v>
      </c>
      <c r="B65" s="3"/>
      <c r="C65" s="3"/>
      <c r="D65" s="3"/>
      <c r="E65" s="3"/>
      <c r="F65" s="3"/>
      <c r="G65" s="3"/>
      <c r="H65" s="3"/>
    </row>
    <row r="66" ht="22.5" customHeight="1">
      <c r="A66" s="3" t="s">
        <v>988</v>
      </c>
      <c r="B66" s="3"/>
      <c r="C66" s="3"/>
      <c r="D66" s="3"/>
      <c r="E66" s="3"/>
      <c r="F66" s="3"/>
      <c r="G66" s="3"/>
      <c r="H66" s="3"/>
    </row>
    <row r="67" ht="22.5" customHeight="1">
      <c r="A67" s="3" t="s">
        <v>990</v>
      </c>
      <c r="B67" s="3"/>
      <c r="C67" s="3"/>
      <c r="D67" s="3"/>
      <c r="E67" s="3"/>
      <c r="F67" s="3"/>
      <c r="G67" s="3"/>
      <c r="H67" s="3"/>
    </row>
    <row r="68" ht="22.5" customHeight="1">
      <c r="A68" s="3" t="s">
        <v>991</v>
      </c>
      <c r="B68" s="3"/>
      <c r="C68" s="3"/>
      <c r="D68" s="3"/>
      <c r="E68" s="3"/>
      <c r="F68" s="3"/>
      <c r="G68" s="3"/>
      <c r="H68" s="3"/>
    </row>
    <row r="69" ht="22.5" customHeight="1">
      <c r="A69" s="3" t="s">
        <v>992</v>
      </c>
      <c r="B69" s="3"/>
      <c r="C69" s="3"/>
      <c r="D69" s="3"/>
      <c r="E69" s="3"/>
      <c r="F69" s="3"/>
      <c r="G69" s="3"/>
      <c r="H69" s="3"/>
    </row>
    <row r="70" ht="22.5" customHeight="1">
      <c r="A70" s="3" t="s">
        <v>993</v>
      </c>
      <c r="B70" s="3"/>
      <c r="C70" s="3"/>
      <c r="D70" s="3"/>
      <c r="E70" s="3"/>
      <c r="F70" s="3"/>
      <c r="G70" s="3"/>
      <c r="H70" s="3"/>
    </row>
    <row r="71" ht="27.0" customHeight="1">
      <c r="A71" s="4" t="s">
        <v>994</v>
      </c>
      <c r="B71" s="4"/>
      <c r="C71" s="4"/>
      <c r="D71" s="4"/>
      <c r="E71" s="4"/>
      <c r="F71" s="4"/>
      <c r="G71" s="4"/>
      <c r="H71" s="4"/>
    </row>
    <row r="72" ht="48.75" customHeight="1">
      <c r="A72" s="5" t="s">
        <v>472</v>
      </c>
      <c r="B72" s="5" t="s">
        <v>996</v>
      </c>
      <c r="C72" s="5" t="s">
        <v>997</v>
      </c>
      <c r="D72" s="2"/>
      <c r="E72" s="2"/>
      <c r="F72" s="2"/>
      <c r="G72" s="2"/>
      <c r="H72" s="2"/>
    </row>
    <row r="73" ht="117.0" customHeight="1">
      <c r="A73" s="15" t="s">
        <v>925</v>
      </c>
      <c r="B73" s="15" t="s">
        <v>998</v>
      </c>
      <c r="C73" s="15" t="s">
        <v>999</v>
      </c>
      <c r="D73" s="2"/>
      <c r="E73" s="2"/>
      <c r="F73" s="2"/>
      <c r="G73" s="2"/>
      <c r="H73" s="2"/>
    </row>
    <row r="74" ht="87.0" customHeight="1">
      <c r="A74" s="15" t="s">
        <v>941</v>
      </c>
      <c r="B74" s="15" t="s">
        <v>1000</v>
      </c>
      <c r="C74" s="15" t="s">
        <v>1001</v>
      </c>
      <c r="D74" s="2"/>
      <c r="E74" s="2"/>
      <c r="F74" s="2"/>
      <c r="G74" s="2"/>
      <c r="H74" s="2"/>
    </row>
    <row r="75" ht="102.0" customHeight="1">
      <c r="A75" s="15" t="s">
        <v>942</v>
      </c>
      <c r="B75" s="15" t="s">
        <v>1002</v>
      </c>
      <c r="C75" s="15" t="s">
        <v>1003</v>
      </c>
      <c r="D75" s="2"/>
      <c r="E75" s="2"/>
      <c r="F75" s="2"/>
      <c r="G75" s="2"/>
      <c r="H75" s="2"/>
    </row>
    <row r="76" ht="102.0" customHeight="1">
      <c r="A76" s="15" t="s">
        <v>944</v>
      </c>
      <c r="B76" s="15" t="s">
        <v>1004</v>
      </c>
      <c r="C76" s="15" t="s">
        <v>1005</v>
      </c>
      <c r="D76" s="2"/>
      <c r="E76" s="2"/>
      <c r="F76" s="2"/>
      <c r="G76" s="2"/>
      <c r="H76" s="2"/>
    </row>
    <row r="77" ht="21.75" customHeight="1">
      <c r="A77" s="2"/>
      <c r="B77" s="2"/>
      <c r="C77" s="2"/>
      <c r="D77" s="2"/>
      <c r="E77" s="2"/>
      <c r="F77" s="2"/>
      <c r="G77" s="2"/>
      <c r="H77" s="2"/>
    </row>
    <row r="78" ht="21.75" customHeight="1">
      <c r="A78" s="2"/>
      <c r="B78" s="2"/>
      <c r="C78" s="2"/>
      <c r="D78" s="2"/>
      <c r="E78" s="2"/>
      <c r="F78" s="2"/>
      <c r="G78" s="2"/>
      <c r="H78" s="2"/>
    </row>
    <row r="79" ht="22.5" customHeight="1">
      <c r="A79" s="3" t="s">
        <v>263</v>
      </c>
      <c r="B79" s="3"/>
      <c r="C79" s="3"/>
      <c r="D79" s="3"/>
      <c r="E79" s="3"/>
      <c r="F79" s="3"/>
      <c r="G79" s="3"/>
      <c r="H79" s="3"/>
    </row>
    <row r="80" ht="22.5" customHeight="1">
      <c r="A80" s="3" t="s">
        <v>1008</v>
      </c>
      <c r="B80" s="3"/>
      <c r="C80" s="3"/>
      <c r="D80" s="3"/>
      <c r="E80" s="3"/>
      <c r="F80" s="3"/>
      <c r="G80" s="3"/>
      <c r="H80" s="3"/>
    </row>
    <row r="81" ht="22.5" customHeight="1">
      <c r="A81" s="3" t="s">
        <v>1009</v>
      </c>
      <c r="B81" s="3"/>
      <c r="C81" s="3"/>
      <c r="D81" s="3"/>
      <c r="E81" s="3"/>
      <c r="F81" s="3"/>
      <c r="G81" s="3"/>
      <c r="H81" s="3"/>
    </row>
    <row r="82" ht="22.5" customHeight="1">
      <c r="A82" s="3" t="s">
        <v>1010</v>
      </c>
      <c r="B82" s="3"/>
      <c r="C82" s="3"/>
      <c r="D82" s="3"/>
      <c r="E82" s="3"/>
      <c r="F82" s="3"/>
      <c r="G82" s="3"/>
      <c r="H82" s="3"/>
    </row>
    <row r="83" ht="22.5" customHeight="1">
      <c r="A83" s="3" t="s">
        <v>1012</v>
      </c>
      <c r="B83" s="3"/>
      <c r="C83" s="3"/>
      <c r="D83" s="3"/>
      <c r="E83" s="3"/>
      <c r="F83" s="3"/>
      <c r="G83" s="3"/>
      <c r="H83" s="3"/>
    </row>
    <row r="84" ht="22.5" customHeight="1">
      <c r="A84" s="3" t="s">
        <v>1014</v>
      </c>
      <c r="B84" s="3"/>
      <c r="C84" s="3"/>
      <c r="D84" s="3"/>
      <c r="E84" s="3"/>
      <c r="F84" s="3"/>
      <c r="G84" s="3"/>
      <c r="H84" s="3"/>
    </row>
    <row r="85" ht="22.5" customHeight="1">
      <c r="A85" s="3" t="s">
        <v>1015</v>
      </c>
      <c r="B85" s="3"/>
      <c r="C85" s="3"/>
      <c r="D85" s="3"/>
      <c r="E85" s="3"/>
      <c r="F85" s="3"/>
      <c r="G85" s="3"/>
      <c r="H85" s="3"/>
    </row>
    <row r="86" ht="22.5" customHeight="1">
      <c r="A86" s="3" t="s">
        <v>1016</v>
      </c>
      <c r="B86" s="3"/>
      <c r="C86" s="3"/>
      <c r="D86" s="3"/>
      <c r="E86" s="3"/>
      <c r="F86" s="3"/>
      <c r="G86" s="3"/>
      <c r="H86" s="3"/>
    </row>
    <row r="87" ht="21.75" customHeight="1">
      <c r="A87" s="2"/>
      <c r="B87" s="2"/>
      <c r="C87" s="2"/>
      <c r="D87" s="2"/>
      <c r="E87" s="2"/>
      <c r="F87" s="2"/>
      <c r="G87" s="2"/>
      <c r="H87" s="2"/>
    </row>
    <row r="88" ht="21.75" customHeight="1">
      <c r="A88" s="6" t="s">
        <v>266</v>
      </c>
      <c r="B88" s="2"/>
      <c r="C88" s="2"/>
      <c r="D88" s="2"/>
      <c r="E88" s="2"/>
      <c r="F88" s="2"/>
      <c r="G88" s="2"/>
      <c r="H88" s="2"/>
    </row>
    <row r="89" ht="22.5" customHeight="1">
      <c r="A89" s="3" t="s">
        <v>716</v>
      </c>
      <c r="B89" s="3"/>
      <c r="C89" s="3"/>
      <c r="D89" s="3"/>
      <c r="E89" s="3"/>
      <c r="F89" s="3"/>
      <c r="G89" s="3"/>
      <c r="H89" s="3"/>
    </row>
    <row r="90" ht="22.5" customHeight="1">
      <c r="A90" s="3" t="s">
        <v>717</v>
      </c>
      <c r="B90" s="3"/>
      <c r="C90" s="3"/>
      <c r="D90" s="3"/>
      <c r="E90" s="3"/>
      <c r="F90" s="3"/>
      <c r="G90" s="3"/>
      <c r="H90" s="3"/>
    </row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9_Готовность'!A1" ref="A8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1019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</row>
    <row r="4" ht="21.75" customHeight="1">
      <c r="A4" s="6" t="s">
        <v>670</v>
      </c>
      <c r="B4" s="2"/>
      <c r="C4" s="2"/>
      <c r="D4" s="2"/>
      <c r="E4" s="2"/>
      <c r="F4" s="2"/>
    </row>
    <row r="5" ht="22.5" customHeight="1">
      <c r="A5" s="10" t="s">
        <v>1021</v>
      </c>
      <c r="B5" s="10"/>
      <c r="C5" s="10"/>
      <c r="D5" s="10"/>
      <c r="E5" s="10"/>
      <c r="F5" s="10"/>
    </row>
    <row r="6" ht="22.5" customHeight="1">
      <c r="A6" s="3" t="s">
        <v>1022</v>
      </c>
      <c r="B6" s="3"/>
      <c r="C6" s="3"/>
      <c r="D6" s="3"/>
      <c r="E6" s="3"/>
      <c r="F6" s="3"/>
    </row>
    <row r="7" ht="22.5" customHeight="1">
      <c r="A7" s="3" t="s">
        <v>1023</v>
      </c>
      <c r="B7" s="3"/>
      <c r="C7" s="3"/>
      <c r="D7" s="3"/>
      <c r="E7" s="3"/>
      <c r="F7" s="3"/>
    </row>
    <row r="8" ht="22.5" customHeight="1">
      <c r="A8" s="3" t="s">
        <v>1024</v>
      </c>
      <c r="B8" s="3"/>
      <c r="C8" s="3"/>
      <c r="D8" s="3"/>
      <c r="E8" s="3"/>
      <c r="F8" s="3"/>
    </row>
    <row r="9" ht="22.5" customHeight="1">
      <c r="A9" s="3" t="s">
        <v>1025</v>
      </c>
      <c r="B9" s="3"/>
      <c r="C9" s="3"/>
      <c r="D9" s="3"/>
      <c r="E9" s="3"/>
      <c r="F9" s="3"/>
    </row>
    <row r="10" ht="22.5" customHeight="1">
      <c r="A10" s="3" t="s">
        <v>1026</v>
      </c>
      <c r="B10" s="3"/>
      <c r="C10" s="3"/>
      <c r="D10" s="3"/>
      <c r="E10" s="3"/>
      <c r="F10" s="3"/>
    </row>
    <row r="11" ht="22.5" customHeight="1">
      <c r="A11" s="3" t="s">
        <v>1027</v>
      </c>
      <c r="B11" s="3"/>
      <c r="C11" s="3"/>
      <c r="D11" s="3"/>
      <c r="E11" s="3"/>
      <c r="F11" s="3"/>
    </row>
    <row r="12" ht="22.5" customHeight="1">
      <c r="A12" s="3" t="s">
        <v>1028</v>
      </c>
      <c r="B12" s="3"/>
      <c r="C12" s="3"/>
      <c r="D12" s="3"/>
      <c r="E12" s="3"/>
      <c r="F12" s="3"/>
    </row>
    <row r="13" ht="22.5" customHeight="1">
      <c r="A13" s="3" t="s">
        <v>1029</v>
      </c>
      <c r="B13" s="3"/>
      <c r="C13" s="3"/>
      <c r="D13" s="3"/>
      <c r="E13" s="3"/>
      <c r="F13" s="3"/>
    </row>
    <row r="14" ht="22.5" customHeight="1">
      <c r="A14" s="3" t="s">
        <v>1030</v>
      </c>
      <c r="B14" s="3"/>
      <c r="C14" s="3"/>
      <c r="D14" s="3"/>
      <c r="E14" s="3"/>
      <c r="F14" s="3"/>
    </row>
    <row r="15" ht="22.5" customHeight="1">
      <c r="A15" s="3" t="s">
        <v>1031</v>
      </c>
      <c r="B15" s="3"/>
      <c r="C15" s="3"/>
      <c r="D15" s="3"/>
      <c r="E15" s="3"/>
      <c r="F15" s="3"/>
    </row>
    <row r="16" ht="22.5" customHeight="1">
      <c r="A16" s="3" t="s">
        <v>56</v>
      </c>
      <c r="B16" s="3"/>
      <c r="C16" s="3"/>
      <c r="D16" s="3"/>
      <c r="E16" s="3"/>
      <c r="F16" s="3"/>
    </row>
    <row r="17" ht="27.0" customHeight="1">
      <c r="A17" s="4" t="s">
        <v>1033</v>
      </c>
      <c r="B17" s="4"/>
      <c r="C17" s="4"/>
      <c r="D17" s="4"/>
      <c r="E17" s="4"/>
      <c r="F17" s="4"/>
    </row>
    <row r="18" ht="48.75" customHeight="1">
      <c r="A18" s="5" t="s">
        <v>1034</v>
      </c>
      <c r="B18" s="5" t="s">
        <v>1035</v>
      </c>
      <c r="C18" s="5" t="s">
        <v>726</v>
      </c>
      <c r="D18" s="5" t="s">
        <v>1036</v>
      </c>
      <c r="E18" s="2"/>
      <c r="F18" s="2"/>
    </row>
    <row r="19" ht="79.5" customHeight="1">
      <c r="A19" s="26" t="s">
        <v>1037</v>
      </c>
      <c r="B19" s="16"/>
      <c r="C19" s="16"/>
      <c r="D19" s="16"/>
      <c r="E19" s="2"/>
      <c r="F19" s="2"/>
    </row>
    <row r="20" ht="79.5" customHeight="1">
      <c r="A20" s="26" t="s">
        <v>1038</v>
      </c>
      <c r="B20" s="16"/>
      <c r="C20" s="16"/>
      <c r="D20" s="16"/>
      <c r="E20" s="2"/>
      <c r="F20" s="2"/>
    </row>
    <row r="21" ht="79.5" customHeight="1">
      <c r="A21" s="26" t="s">
        <v>1039</v>
      </c>
      <c r="B21" s="16"/>
      <c r="C21" s="16"/>
      <c r="D21" s="16"/>
      <c r="E21" s="2"/>
      <c r="F21" s="2"/>
    </row>
    <row r="22" ht="79.5" customHeight="1">
      <c r="A22" s="26" t="s">
        <v>1040</v>
      </c>
      <c r="B22" s="16"/>
      <c r="C22" s="16"/>
      <c r="D22" s="16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1041</v>
      </c>
      <c r="B25" s="4"/>
      <c r="C25" s="4"/>
      <c r="D25" s="4"/>
      <c r="E25" s="4"/>
      <c r="F25" s="4"/>
    </row>
    <row r="26" ht="48.75" customHeight="1">
      <c r="A26" s="5" t="s">
        <v>810</v>
      </c>
      <c r="B26" s="5" t="s">
        <v>1042</v>
      </c>
      <c r="C26" s="5" t="s">
        <v>1043</v>
      </c>
      <c r="D26" s="5" t="s">
        <v>1044</v>
      </c>
      <c r="E26" s="5" t="s">
        <v>772</v>
      </c>
      <c r="F26" s="5" t="s">
        <v>1045</v>
      </c>
    </row>
    <row r="27" ht="79.5" customHeight="1">
      <c r="A27" s="7" t="s">
        <v>1046</v>
      </c>
      <c r="B27" s="16"/>
      <c r="C27" s="29" t="str">
        <f t="shared" ref="C27:C28" si="1">IF(COUNT(D130:E130)&lt;2,"",TEXT(D130,"yyyy-mm-dd")&amp;" / "&amp;TEXT(E130,"yyyy-mm-dd"))</f>
        <v>2026-11-30 / 2026-12-02</v>
      </c>
      <c r="D27" s="29" t="str">
        <f t="shared" ref="D27:D28" si="2">IF(COUNT(F130,B136)&lt;2,"",TEXT(F130,"0.00")&amp;" / "&amp;TEXT(B136,"0.00"))</f>
        <v>4,55 / 4,75</v>
      </c>
      <c r="E27" s="16"/>
      <c r="F27" s="14" t="s">
        <v>1052</v>
      </c>
    </row>
    <row r="28" ht="79.5" customHeight="1">
      <c r="A28" s="7" t="s">
        <v>1054</v>
      </c>
      <c r="B28" s="16"/>
      <c r="C28" s="29" t="str">
        <f t="shared" si="1"/>
        <v>2026-11-27 / 2026-11-30</v>
      </c>
      <c r="D28" s="29" t="str">
        <f t="shared" si="2"/>
        <v>4,55 / 4,71</v>
      </c>
      <c r="E28" s="16"/>
      <c r="F28" s="14" t="s">
        <v>1052</v>
      </c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352</v>
      </c>
      <c r="B31" s="4"/>
      <c r="C31" s="4"/>
      <c r="D31" s="4"/>
      <c r="E31" s="4"/>
      <c r="F31" s="4"/>
    </row>
    <row r="32" ht="48.75" customHeight="1">
      <c r="A32" s="5" t="s">
        <v>183</v>
      </c>
      <c r="B32" s="5" t="s">
        <v>767</v>
      </c>
      <c r="C32" s="5" t="s">
        <v>1060</v>
      </c>
      <c r="D32" s="5" t="s">
        <v>1061</v>
      </c>
      <c r="E32" s="2"/>
      <c r="F32" s="2"/>
    </row>
    <row r="33" ht="79.5" customHeight="1">
      <c r="A33" s="16"/>
      <c r="B33" s="16"/>
      <c r="C33" s="16"/>
      <c r="D33" s="16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7.0" customHeight="1">
      <c r="A36" s="4" t="s">
        <v>1063</v>
      </c>
      <c r="B36" s="4"/>
      <c r="C36" s="4"/>
      <c r="D36" s="4"/>
      <c r="E36" s="4"/>
      <c r="F36" s="4"/>
    </row>
    <row r="37" ht="48.75" customHeight="1">
      <c r="A37" s="5" t="s">
        <v>849</v>
      </c>
      <c r="B37" s="5" t="s">
        <v>1065</v>
      </c>
      <c r="C37" s="5" t="s">
        <v>687</v>
      </c>
      <c r="D37" s="5" t="s">
        <v>411</v>
      </c>
      <c r="E37" s="5" t="s">
        <v>854</v>
      </c>
      <c r="F37" s="2"/>
    </row>
    <row r="38" ht="79.5" customHeight="1">
      <c r="A38" s="7" t="s">
        <v>1067</v>
      </c>
      <c r="B38" s="28" t="s">
        <v>1068</v>
      </c>
      <c r="C38" s="28" t="s">
        <v>1069</v>
      </c>
      <c r="D38" s="37">
        <f>IF(COUNT(B149:B153)=0,"",IFERROR(COUNT(B149:B153)/B144*7,""))</f>
        <v>2.5</v>
      </c>
      <c r="E38" s="16"/>
      <c r="F38" s="2"/>
    </row>
    <row r="39" ht="79.5" customHeight="1">
      <c r="A39" s="7" t="s">
        <v>1076</v>
      </c>
      <c r="B39" s="28" t="s">
        <v>1068</v>
      </c>
      <c r="C39" s="28" t="s">
        <v>1077</v>
      </c>
      <c r="D39" s="37">
        <f>IF(COUNT(B149:B153)=0,"",IFERROR(AVERAGE(C149:C153),""))</f>
        <v>6</v>
      </c>
      <c r="E39" s="16"/>
      <c r="F39" s="2"/>
    </row>
    <row r="40" ht="79.5" customHeight="1">
      <c r="A40" s="7" t="s">
        <v>1079</v>
      </c>
      <c r="B40" s="28" t="s">
        <v>1068</v>
      </c>
      <c r="C40" s="28" t="s">
        <v>1080</v>
      </c>
      <c r="D40" s="38">
        <f>IF(COUNT(B149:B153)=0,"",IFERROR(SUM(D149:D153)/COUNT(B149:B153),""))</f>
        <v>0.4</v>
      </c>
      <c r="E40" s="16"/>
      <c r="F40" s="2"/>
    </row>
    <row r="41" ht="79.5" customHeight="1">
      <c r="A41" s="7" t="s">
        <v>1083</v>
      </c>
      <c r="B41" s="28" t="s">
        <v>1068</v>
      </c>
      <c r="C41" s="28" t="s">
        <v>1085</v>
      </c>
      <c r="D41" s="37">
        <f>IF(COUNT(B149:B153)=0,"",IFERROR(AVERAGEIF(D149:D153,1,E149:E153),""))</f>
        <v>11</v>
      </c>
      <c r="E41" s="16"/>
      <c r="F41" s="2"/>
    </row>
    <row r="42" ht="79.5" customHeight="1">
      <c r="A42" s="7" t="s">
        <v>1094</v>
      </c>
      <c r="B42" s="28" t="s">
        <v>1068</v>
      </c>
      <c r="C42" s="28" t="s">
        <v>1096</v>
      </c>
      <c r="D42" s="38">
        <f>IF(COUNT(B149:B153)=0,"",IFERROR(SUM(F149:F153)/COUNT(B149:B153),""))</f>
        <v>0.4</v>
      </c>
      <c r="E42" s="16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212</v>
      </c>
      <c r="B45" s="4"/>
      <c r="C45" s="4"/>
      <c r="D45" s="4"/>
      <c r="E45" s="4"/>
      <c r="F45" s="4"/>
    </row>
    <row r="46" ht="22.5" customHeight="1">
      <c r="A46" s="3" t="s">
        <v>1107</v>
      </c>
      <c r="B46" s="3"/>
      <c r="C46" s="3"/>
      <c r="D46" s="3"/>
      <c r="E46" s="3"/>
      <c r="F46" s="3"/>
    </row>
    <row r="47" ht="22.5" customHeight="1">
      <c r="A47" s="3" t="s">
        <v>1109</v>
      </c>
      <c r="B47" s="3"/>
      <c r="C47" s="3"/>
      <c r="D47" s="3"/>
      <c r="E47" s="3"/>
      <c r="F47" s="3"/>
    </row>
    <row r="48" ht="22.5" customHeight="1">
      <c r="A48" s="3" t="s">
        <v>1110</v>
      </c>
      <c r="B48" s="3"/>
      <c r="C48" s="3"/>
      <c r="D48" s="3"/>
      <c r="E48" s="3"/>
      <c r="F48" s="3"/>
    </row>
    <row r="49" ht="22.5" customHeight="1">
      <c r="A49" s="3" t="s">
        <v>1114</v>
      </c>
      <c r="B49" s="3"/>
      <c r="C49" s="3"/>
      <c r="D49" s="3"/>
      <c r="E49" s="3"/>
      <c r="F49" s="3"/>
    </row>
    <row r="50" ht="22.5" customHeight="1">
      <c r="A50" s="3" t="s">
        <v>1116</v>
      </c>
      <c r="B50" s="3"/>
      <c r="C50" s="3"/>
      <c r="D50" s="3"/>
      <c r="E50" s="3"/>
      <c r="F50" s="3"/>
    </row>
    <row r="51" ht="22.5" customHeight="1">
      <c r="A51" s="3" t="s">
        <v>1118</v>
      </c>
      <c r="B51" s="3"/>
      <c r="C51" s="3"/>
      <c r="D51" s="3"/>
      <c r="E51" s="3"/>
      <c r="F51" s="3"/>
    </row>
    <row r="52" ht="22.5" customHeight="1">
      <c r="A52" s="3" t="s">
        <v>1121</v>
      </c>
      <c r="B52" s="3"/>
      <c r="C52" s="3"/>
      <c r="D52" s="3"/>
      <c r="E52" s="3"/>
      <c r="F52" s="3"/>
    </row>
    <row r="53" ht="22.5" customHeight="1">
      <c r="A53" s="3" t="s">
        <v>1124</v>
      </c>
      <c r="B53" s="3"/>
      <c r="C53" s="3"/>
      <c r="D53" s="3"/>
      <c r="E53" s="3"/>
      <c r="F53" s="3"/>
    </row>
    <row r="54" ht="22.5" customHeight="1">
      <c r="A54" s="3" t="s">
        <v>1127</v>
      </c>
      <c r="B54" s="3"/>
      <c r="C54" s="3"/>
      <c r="D54" s="3"/>
      <c r="E54" s="3"/>
      <c r="F54" s="3"/>
    </row>
    <row r="55" ht="22.5" customHeight="1">
      <c r="A55" s="3" t="s">
        <v>1130</v>
      </c>
      <c r="B55" s="3"/>
      <c r="C55" s="3"/>
      <c r="D55" s="3"/>
      <c r="E55" s="3"/>
      <c r="F55" s="3"/>
    </row>
    <row r="56" ht="22.5" customHeight="1">
      <c r="A56" s="3" t="s">
        <v>1132</v>
      </c>
      <c r="B56" s="3"/>
      <c r="C56" s="3"/>
      <c r="D56" s="3"/>
      <c r="E56" s="3"/>
      <c r="F56" s="3"/>
    </row>
    <row r="57" ht="22.5" customHeight="1">
      <c r="A57" s="3" t="s">
        <v>1135</v>
      </c>
      <c r="B57" s="3"/>
      <c r="C57" s="3"/>
      <c r="D57" s="3"/>
      <c r="E57" s="3"/>
      <c r="F57" s="3"/>
    </row>
    <row r="58" ht="22.5" customHeight="1">
      <c r="A58" s="3" t="s">
        <v>1138</v>
      </c>
      <c r="B58" s="3"/>
      <c r="C58" s="3"/>
      <c r="D58" s="3"/>
      <c r="E58" s="3"/>
      <c r="F58" s="3"/>
    </row>
    <row r="59" ht="22.5" customHeight="1">
      <c r="A59" s="3" t="s">
        <v>1140</v>
      </c>
      <c r="B59" s="3"/>
      <c r="C59" s="3"/>
      <c r="D59" s="3"/>
      <c r="E59" s="3"/>
      <c r="F59" s="3"/>
    </row>
    <row r="60" ht="22.5" customHeight="1">
      <c r="A60" s="3" t="s">
        <v>1141</v>
      </c>
      <c r="B60" s="3"/>
      <c r="C60" s="3"/>
      <c r="D60" s="3"/>
      <c r="E60" s="3"/>
      <c r="F60" s="3"/>
    </row>
    <row r="61" ht="27.0" customHeight="1">
      <c r="A61" s="4" t="s">
        <v>392</v>
      </c>
      <c r="B61" s="4"/>
      <c r="C61" s="4"/>
      <c r="D61" s="4"/>
      <c r="E61" s="4"/>
      <c r="F61" s="4"/>
    </row>
    <row r="62" ht="22.5" customHeight="1">
      <c r="A62" s="10" t="s">
        <v>1146</v>
      </c>
      <c r="B62" s="10"/>
      <c r="C62" s="10"/>
      <c r="D62" s="10"/>
      <c r="E62" s="10"/>
      <c r="F62" s="10"/>
    </row>
    <row r="63" ht="22.5" customHeight="1">
      <c r="A63" s="3" t="s">
        <v>1147</v>
      </c>
      <c r="B63" s="3"/>
      <c r="C63" s="3"/>
      <c r="D63" s="3"/>
      <c r="E63" s="3"/>
      <c r="F63" s="3"/>
    </row>
    <row r="64" ht="22.5" customHeight="1">
      <c r="A64" s="3" t="s">
        <v>1148</v>
      </c>
      <c r="B64" s="3"/>
      <c r="C64" s="3"/>
      <c r="D64" s="3"/>
      <c r="E64" s="3"/>
      <c r="F64" s="3"/>
    </row>
    <row r="65" ht="22.5" customHeight="1">
      <c r="A65" s="3" t="s">
        <v>1149</v>
      </c>
      <c r="B65" s="3"/>
      <c r="C65" s="3"/>
      <c r="D65" s="3"/>
      <c r="E65" s="3"/>
      <c r="F65" s="3"/>
    </row>
    <row r="66" ht="22.5" customHeight="1">
      <c r="A66" s="3" t="s">
        <v>1150</v>
      </c>
      <c r="B66" s="3"/>
      <c r="C66" s="3"/>
      <c r="D66" s="3"/>
      <c r="E66" s="3"/>
      <c r="F66" s="3"/>
    </row>
    <row r="67" ht="22.5" customHeight="1">
      <c r="A67" s="3" t="s">
        <v>1152</v>
      </c>
      <c r="B67" s="3"/>
      <c r="C67" s="3"/>
      <c r="D67" s="3"/>
      <c r="E67" s="3"/>
      <c r="F67" s="3"/>
    </row>
    <row r="68" ht="22.5" customHeight="1">
      <c r="A68" s="3" t="s">
        <v>1154</v>
      </c>
      <c r="B68" s="3"/>
      <c r="C68" s="3"/>
      <c r="D68" s="3"/>
      <c r="E68" s="3"/>
      <c r="F68" s="3"/>
    </row>
    <row r="69" ht="22.5" customHeight="1">
      <c r="A69" s="3" t="s">
        <v>1156</v>
      </c>
      <c r="B69" s="3"/>
      <c r="C69" s="3"/>
      <c r="D69" s="3"/>
      <c r="E69" s="3"/>
      <c r="F69" s="3"/>
    </row>
    <row r="70" ht="22.5" customHeight="1">
      <c r="A70" s="3" t="s">
        <v>1159</v>
      </c>
      <c r="B70" s="3"/>
      <c r="C70" s="3"/>
      <c r="D70" s="3"/>
      <c r="E70" s="3"/>
      <c r="F70" s="3"/>
    </row>
    <row r="71" ht="22.5" customHeight="1">
      <c r="A71" s="3" t="s">
        <v>1162</v>
      </c>
      <c r="B71" s="3"/>
      <c r="C71" s="3"/>
      <c r="D71" s="3"/>
      <c r="E71" s="3"/>
      <c r="F71" s="3"/>
    </row>
    <row r="72" ht="22.5" customHeight="1">
      <c r="A72" s="3" t="s">
        <v>1165</v>
      </c>
      <c r="B72" s="3"/>
      <c r="C72" s="3"/>
      <c r="D72" s="3"/>
      <c r="E72" s="3"/>
      <c r="F72" s="3"/>
    </row>
    <row r="73" ht="22.5" customHeight="1">
      <c r="A73" s="3" t="s">
        <v>1166</v>
      </c>
      <c r="B73" s="3"/>
      <c r="C73" s="3"/>
      <c r="D73" s="3"/>
      <c r="E73" s="3"/>
      <c r="F73" s="3"/>
    </row>
    <row r="74" ht="22.5" customHeight="1">
      <c r="A74" s="3" t="s">
        <v>1169</v>
      </c>
      <c r="B74" s="3"/>
      <c r="C74" s="3"/>
      <c r="D74" s="3"/>
      <c r="E74" s="3"/>
      <c r="F74" s="3"/>
    </row>
    <row r="75" ht="22.5" customHeight="1">
      <c r="A75" s="3" t="s">
        <v>1170</v>
      </c>
      <c r="B75" s="3"/>
      <c r="C75" s="3"/>
      <c r="D75" s="3"/>
      <c r="E75" s="3"/>
      <c r="F75" s="3"/>
    </row>
    <row r="76" ht="22.5" customHeight="1">
      <c r="A76" s="10" t="s">
        <v>1173</v>
      </c>
      <c r="B76" s="10"/>
      <c r="C76" s="10"/>
      <c r="D76" s="10"/>
      <c r="E76" s="10"/>
      <c r="F76" s="10"/>
    </row>
    <row r="77" ht="22.5" customHeight="1">
      <c r="A77" s="3" t="s">
        <v>1174</v>
      </c>
      <c r="B77" s="3"/>
      <c r="C77" s="3"/>
      <c r="D77" s="3"/>
      <c r="E77" s="3"/>
      <c r="F77" s="3"/>
    </row>
    <row r="78" ht="22.5" customHeight="1">
      <c r="A78" s="3" t="s">
        <v>1176</v>
      </c>
      <c r="B78" s="3"/>
      <c r="C78" s="3"/>
      <c r="D78" s="3"/>
      <c r="E78" s="3"/>
      <c r="F78" s="3"/>
    </row>
    <row r="79" ht="22.5" customHeight="1">
      <c r="A79" s="3" t="s">
        <v>1177</v>
      </c>
      <c r="B79" s="3"/>
      <c r="C79" s="3"/>
      <c r="D79" s="3"/>
      <c r="E79" s="3"/>
      <c r="F79" s="3"/>
    </row>
    <row r="80" ht="22.5" customHeight="1">
      <c r="A80" s="3" t="s">
        <v>1180</v>
      </c>
      <c r="B80" s="3"/>
      <c r="C80" s="3"/>
      <c r="D80" s="3"/>
      <c r="E80" s="3"/>
      <c r="F80" s="3"/>
    </row>
    <row r="81" ht="22.5" customHeight="1">
      <c r="A81" s="3" t="s">
        <v>1182</v>
      </c>
      <c r="B81" s="3"/>
      <c r="C81" s="3"/>
      <c r="D81" s="3"/>
      <c r="E81" s="3"/>
      <c r="F81" s="3"/>
    </row>
    <row r="82" ht="22.5" customHeight="1">
      <c r="A82" s="3" t="s">
        <v>1185</v>
      </c>
      <c r="B82" s="3"/>
      <c r="C82" s="3"/>
      <c r="D82" s="3"/>
      <c r="E82" s="3"/>
      <c r="F82" s="3"/>
    </row>
    <row r="83" ht="22.5" customHeight="1">
      <c r="A83" s="3" t="s">
        <v>1188</v>
      </c>
      <c r="B83" s="3"/>
      <c r="C83" s="3"/>
      <c r="D83" s="3"/>
      <c r="E83" s="3"/>
      <c r="F83" s="3"/>
    </row>
    <row r="84" ht="22.5" customHeight="1">
      <c r="A84" s="3" t="s">
        <v>1191</v>
      </c>
      <c r="B84" s="3"/>
      <c r="C84" s="3"/>
      <c r="D84" s="3"/>
      <c r="E84" s="3"/>
      <c r="F84" s="3"/>
    </row>
    <row r="85" ht="22.5" customHeight="1">
      <c r="A85" s="3" t="s">
        <v>1194</v>
      </c>
      <c r="B85" s="3"/>
      <c r="C85" s="3"/>
      <c r="D85" s="3"/>
      <c r="E85" s="3"/>
      <c r="F85" s="3"/>
    </row>
    <row r="86" ht="27.0" customHeight="1">
      <c r="A86" s="4" t="s">
        <v>1196</v>
      </c>
      <c r="B86" s="4"/>
      <c r="C86" s="4"/>
      <c r="D86" s="4"/>
      <c r="E86" s="4"/>
      <c r="F86" s="4"/>
    </row>
    <row r="87" ht="48.75" customHeight="1">
      <c r="A87" s="5" t="s">
        <v>810</v>
      </c>
      <c r="B87" s="5" t="s">
        <v>772</v>
      </c>
      <c r="C87" s="2"/>
      <c r="D87" s="2"/>
      <c r="E87" s="2"/>
      <c r="F87" s="2"/>
    </row>
    <row r="88" ht="57.0" customHeight="1">
      <c r="A88" s="15" t="s">
        <v>1046</v>
      </c>
      <c r="B88" s="15" t="s">
        <v>1204</v>
      </c>
      <c r="C88" s="2"/>
      <c r="D88" s="2"/>
      <c r="E88" s="2"/>
      <c r="F88" s="2"/>
    </row>
    <row r="89" ht="87.0" customHeight="1">
      <c r="A89" s="15" t="s">
        <v>1207</v>
      </c>
      <c r="B89" s="15" t="s">
        <v>1209</v>
      </c>
      <c r="C89" s="2"/>
      <c r="D89" s="2"/>
      <c r="E89" s="2"/>
      <c r="F89" s="2"/>
    </row>
    <row r="90" ht="21.75" customHeight="1">
      <c r="A90" s="2"/>
      <c r="B90" s="2"/>
      <c r="C90" s="2"/>
      <c r="D90" s="2"/>
      <c r="E90" s="2"/>
      <c r="F90" s="2"/>
    </row>
    <row r="91" ht="21.75" customHeight="1">
      <c r="A91" s="2"/>
      <c r="B91" s="2"/>
      <c r="C91" s="2"/>
      <c r="D91" s="2"/>
      <c r="E91" s="2"/>
      <c r="F91" s="2"/>
    </row>
    <row r="92" ht="22.5" customHeight="1">
      <c r="A92" s="3" t="s">
        <v>263</v>
      </c>
      <c r="B92" s="3"/>
      <c r="C92" s="3"/>
      <c r="D92" s="3"/>
      <c r="E92" s="3"/>
      <c r="F92" s="3"/>
    </row>
    <row r="93" ht="27.0" customHeight="1">
      <c r="A93" s="4" t="s">
        <v>1219</v>
      </c>
      <c r="B93" s="4"/>
      <c r="C93" s="4"/>
      <c r="D93" s="4"/>
      <c r="E93" s="4"/>
      <c r="F93" s="4"/>
    </row>
    <row r="94" ht="48.75" customHeight="1">
      <c r="A94" s="5" t="s">
        <v>849</v>
      </c>
      <c r="B94" s="5" t="s">
        <v>852</v>
      </c>
      <c r="C94" s="2"/>
      <c r="D94" s="2"/>
      <c r="E94" s="2"/>
      <c r="F94" s="2"/>
    </row>
    <row r="95" ht="37.5" customHeight="1">
      <c r="A95" s="15" t="s">
        <v>1221</v>
      </c>
      <c r="B95" s="32">
        <v>0.86</v>
      </c>
      <c r="C95" s="2"/>
      <c r="D95" s="2"/>
      <c r="E95" s="2"/>
      <c r="F95" s="2"/>
    </row>
    <row r="96" ht="37.5" customHeight="1">
      <c r="A96" s="15" t="s">
        <v>1223</v>
      </c>
      <c r="B96" s="32">
        <v>0.81</v>
      </c>
      <c r="C96" s="2"/>
      <c r="D96" s="2"/>
      <c r="E96" s="2"/>
      <c r="F96" s="2"/>
    </row>
    <row r="97" ht="37.5" customHeight="1">
      <c r="A97" s="15" t="s">
        <v>1039</v>
      </c>
      <c r="B97" s="27">
        <v>3.0</v>
      </c>
      <c r="C97" s="2"/>
      <c r="D97" s="2"/>
      <c r="E97" s="2"/>
      <c r="F97" s="2"/>
    </row>
    <row r="98" ht="37.5" customHeight="1">
      <c r="A98" s="15" t="s">
        <v>1230</v>
      </c>
      <c r="B98" s="32">
        <v>4.1</v>
      </c>
      <c r="C98" s="2"/>
      <c r="D98" s="2"/>
      <c r="E98" s="2"/>
      <c r="F98" s="2"/>
    </row>
    <row r="99" ht="21.75" customHeight="1">
      <c r="A99" s="2"/>
      <c r="B99" s="2"/>
      <c r="C99" s="2"/>
      <c r="D99" s="2"/>
      <c r="E99" s="2"/>
      <c r="F99" s="2"/>
    </row>
    <row r="100" ht="21.75" customHeight="1">
      <c r="A100" s="2"/>
      <c r="B100" s="2"/>
      <c r="C100" s="2"/>
      <c r="D100" s="2"/>
      <c r="E100" s="2"/>
      <c r="F100" s="2"/>
    </row>
    <row r="101" ht="27.0" customHeight="1">
      <c r="A101" s="4" t="s">
        <v>1238</v>
      </c>
      <c r="B101" s="4"/>
      <c r="C101" s="4"/>
      <c r="D101" s="4"/>
      <c r="E101" s="4"/>
      <c r="F101" s="4"/>
    </row>
    <row r="102" ht="48.75" customHeight="1">
      <c r="A102" s="5" t="s">
        <v>492</v>
      </c>
      <c r="B102" s="5" t="s">
        <v>1242</v>
      </c>
      <c r="C102" s="5" t="s">
        <v>1245</v>
      </c>
      <c r="D102" s="2"/>
      <c r="E102" s="2"/>
      <c r="F102" s="2"/>
    </row>
    <row r="103" ht="37.5" customHeight="1">
      <c r="A103" s="15">
        <v>1.0</v>
      </c>
      <c r="B103" s="27">
        <v>4.0</v>
      </c>
      <c r="C103" s="27">
        <v>7.0</v>
      </c>
      <c r="D103" s="2"/>
      <c r="E103" s="2"/>
      <c r="F103" s="2"/>
    </row>
    <row r="104" ht="37.5" customHeight="1">
      <c r="A104" s="15">
        <v>2.0</v>
      </c>
      <c r="B104" s="27">
        <v>5.0</v>
      </c>
      <c r="C104" s="27">
        <v>9.0</v>
      </c>
      <c r="D104" s="2"/>
      <c r="E104" s="2"/>
      <c r="F104" s="2"/>
    </row>
    <row r="105" ht="37.5" customHeight="1">
      <c r="A105" s="15">
        <v>3.0</v>
      </c>
      <c r="B105" s="27">
        <v>6.0</v>
      </c>
      <c r="C105" s="27">
        <v>11.0</v>
      </c>
      <c r="D105" s="2"/>
      <c r="E105" s="2"/>
      <c r="F105" s="2"/>
    </row>
    <row r="106" ht="37.5" customHeight="1">
      <c r="A106" s="15">
        <v>4.0</v>
      </c>
      <c r="B106" s="27">
        <v>7.0</v>
      </c>
      <c r="C106" s="27">
        <v>13.0</v>
      </c>
      <c r="D106" s="2"/>
      <c r="E106" s="2"/>
      <c r="F106" s="2"/>
    </row>
    <row r="107" ht="37.5" customHeight="1">
      <c r="A107" s="15">
        <v>5.0</v>
      </c>
      <c r="B107" s="27">
        <v>8.0</v>
      </c>
      <c r="C107" s="27">
        <v>15.0</v>
      </c>
      <c r="D107" s="2"/>
      <c r="E107" s="2"/>
      <c r="F107" s="2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1268</v>
      </c>
      <c r="B110" s="4"/>
      <c r="C110" s="4"/>
      <c r="D110" s="4"/>
      <c r="E110" s="4"/>
      <c r="F110" s="4"/>
    </row>
    <row r="111" ht="48.75" customHeight="1">
      <c r="A111" s="5" t="s">
        <v>1269</v>
      </c>
      <c r="B111" s="5" t="s">
        <v>1270</v>
      </c>
      <c r="C111" s="2"/>
      <c r="D111" s="2"/>
      <c r="E111" s="2"/>
      <c r="F111" s="2"/>
    </row>
    <row r="112" ht="37.5" customHeight="1">
      <c r="A112" s="15" t="s">
        <v>1242</v>
      </c>
      <c r="B112" s="39">
        <f>IF(COUNT(B103:B107)=0,"",AVERAGE(B103:B107))</f>
        <v>6</v>
      </c>
      <c r="C112" s="2"/>
      <c r="D112" s="2"/>
      <c r="E112" s="2"/>
      <c r="F112" s="2"/>
    </row>
    <row r="113" ht="37.5" customHeight="1">
      <c r="A113" s="15" t="s">
        <v>1245</v>
      </c>
      <c r="B113" s="39">
        <f>IF(COUNT(C103:C107)=0,"",AVERAGE(C103:C107))</f>
        <v>11</v>
      </c>
      <c r="C113" s="2"/>
      <c r="D113" s="2"/>
      <c r="E113" s="2"/>
      <c r="F113" s="2"/>
    </row>
    <row r="114" ht="21.75" customHeight="1">
      <c r="A114" s="2"/>
      <c r="B114" s="2"/>
      <c r="C114" s="2"/>
      <c r="D114" s="2"/>
      <c r="E114" s="2"/>
      <c r="F114" s="2"/>
    </row>
    <row r="115" ht="21.75" customHeight="1">
      <c r="A115" s="2"/>
      <c r="B115" s="2"/>
      <c r="C115" s="2"/>
      <c r="D115" s="2"/>
      <c r="E115" s="2"/>
      <c r="F115" s="2"/>
    </row>
    <row r="116" ht="27.0" customHeight="1">
      <c r="A116" s="4" t="s">
        <v>1287</v>
      </c>
      <c r="B116" s="4"/>
      <c r="C116" s="4"/>
      <c r="D116" s="4"/>
      <c r="E116" s="4"/>
      <c r="F116" s="4"/>
    </row>
    <row r="117" ht="48.75" customHeight="1">
      <c r="A117" s="5" t="s">
        <v>810</v>
      </c>
      <c r="B117" s="5" t="s">
        <v>1291</v>
      </c>
      <c r="C117" s="5" t="s">
        <v>1292</v>
      </c>
      <c r="D117" s="5" t="s">
        <v>1294</v>
      </c>
      <c r="E117" s="5" t="s">
        <v>1295</v>
      </c>
      <c r="F117" s="2"/>
    </row>
    <row r="118" ht="37.5" customHeight="1">
      <c r="A118" s="15" t="s">
        <v>1046</v>
      </c>
      <c r="B118" s="27">
        <v>4.0</v>
      </c>
      <c r="C118" s="27">
        <v>6.0</v>
      </c>
      <c r="D118" s="27">
        <v>3.0</v>
      </c>
      <c r="E118" s="27">
        <v>4.0</v>
      </c>
      <c r="F118" s="2"/>
    </row>
    <row r="119" ht="37.5" customHeight="1">
      <c r="A119" s="15" t="s">
        <v>1054</v>
      </c>
      <c r="B119" s="27">
        <v>3.0</v>
      </c>
      <c r="C119" s="27">
        <v>4.0</v>
      </c>
      <c r="D119" s="27">
        <v>3.0</v>
      </c>
      <c r="E119" s="27">
        <v>4.0</v>
      </c>
      <c r="F119" s="2"/>
    </row>
    <row r="120" ht="21.75" customHeight="1">
      <c r="A120" s="2"/>
      <c r="B120" s="2"/>
      <c r="C120" s="2"/>
      <c r="D120" s="2"/>
      <c r="E120" s="2"/>
      <c r="F120" s="2"/>
    </row>
    <row r="121" ht="21.75" customHeight="1">
      <c r="A121" s="2"/>
      <c r="B121" s="2"/>
      <c r="C121" s="2"/>
      <c r="D121" s="2"/>
      <c r="E121" s="2"/>
      <c r="F121" s="2"/>
    </row>
    <row r="122" ht="27.0" customHeight="1">
      <c r="A122" s="4" t="s">
        <v>1300</v>
      </c>
      <c r="B122" s="4"/>
      <c r="C122" s="4"/>
      <c r="D122" s="4"/>
      <c r="E122" s="4"/>
      <c r="F122" s="4"/>
    </row>
    <row r="123" ht="48.75" customHeight="1">
      <c r="A123" s="5" t="s">
        <v>810</v>
      </c>
      <c r="B123" s="5" t="s">
        <v>1302</v>
      </c>
      <c r="C123" s="5" t="s">
        <v>1303</v>
      </c>
      <c r="D123" s="2"/>
      <c r="E123" s="2"/>
      <c r="F123" s="2"/>
    </row>
    <row r="124" ht="37.5" customHeight="1">
      <c r="A124" s="15" t="s">
        <v>1046</v>
      </c>
      <c r="B124" s="32">
        <v>0.45</v>
      </c>
      <c r="C124" s="32">
        <v>0.65</v>
      </c>
      <c r="D124" s="2"/>
      <c r="E124" s="2"/>
      <c r="F124" s="2"/>
    </row>
    <row r="125" ht="37.5" customHeight="1">
      <c r="A125" s="15" t="s">
        <v>1054</v>
      </c>
      <c r="B125" s="32">
        <v>0.45</v>
      </c>
      <c r="C125" s="32">
        <v>0.61</v>
      </c>
      <c r="D125" s="2"/>
      <c r="E125" s="2"/>
      <c r="F125" s="2"/>
    </row>
    <row r="126" ht="21.75" customHeight="1">
      <c r="A126" s="2"/>
      <c r="B126" s="2"/>
      <c r="C126" s="2"/>
      <c r="D126" s="2"/>
      <c r="E126" s="2"/>
      <c r="F126" s="2"/>
    </row>
    <row r="127" ht="21.75" customHeight="1">
      <c r="A127" s="2"/>
      <c r="B127" s="2"/>
      <c r="C127" s="2"/>
      <c r="D127" s="2"/>
      <c r="E127" s="2"/>
      <c r="F127" s="2"/>
    </row>
    <row r="128" ht="27.0" customHeight="1">
      <c r="A128" s="4" t="s">
        <v>1305</v>
      </c>
      <c r="B128" s="4"/>
      <c r="C128" s="4"/>
      <c r="D128" s="4"/>
      <c r="E128" s="4"/>
      <c r="F128" s="4"/>
    </row>
    <row r="129" ht="48.75" customHeight="1">
      <c r="A129" s="5" t="s">
        <v>810</v>
      </c>
      <c r="B129" s="5" t="s">
        <v>1306</v>
      </c>
      <c r="C129" s="5" t="s">
        <v>1307</v>
      </c>
      <c r="D129" s="5" t="s">
        <v>1308</v>
      </c>
      <c r="E129" s="5" t="s">
        <v>1309</v>
      </c>
      <c r="F129" s="5" t="s">
        <v>1310</v>
      </c>
    </row>
    <row r="130" ht="37.5" customHeight="1">
      <c r="A130" s="15" t="s">
        <v>1046</v>
      </c>
      <c r="B130" s="39">
        <f t="shared" ref="B130:B131" si="4">IF(COUNT(B118:E118)&lt;4,"",MAX(B118,D118))</f>
        <v>4</v>
      </c>
      <c r="C130" s="39">
        <f t="shared" ref="C130:C131" si="5">IF(COUNT(B118:E118)&lt;4,"",MAX(C118,E118))</f>
        <v>6</v>
      </c>
      <c r="D130" s="40">
        <f t="shared" ref="D130:E130" si="3">IF(B130="","",WORKDAY(DATE(2026,11,24),B130))</f>
        <v>46356</v>
      </c>
      <c r="E130" s="40">
        <f t="shared" si="3"/>
        <v>46358</v>
      </c>
      <c r="F130" s="36">
        <f>IF(OR(B98="",B124=""),"",B98+B124)</f>
        <v>4.55</v>
      </c>
    </row>
    <row r="131" ht="37.5" customHeight="1">
      <c r="A131" s="15" t="s">
        <v>1054</v>
      </c>
      <c r="B131" s="39">
        <f t="shared" si="4"/>
        <v>3</v>
      </c>
      <c r="C131" s="39">
        <f t="shared" si="5"/>
        <v>4</v>
      </c>
      <c r="D131" s="40">
        <f t="shared" ref="D131:E131" si="6">IF(B131="","",WORKDAY(DATE(2026,11,24),B131))</f>
        <v>46353</v>
      </c>
      <c r="E131" s="40">
        <f t="shared" si="6"/>
        <v>46356</v>
      </c>
      <c r="F131" s="36">
        <f>IF(OR(B98="",B125=""),"",B98+B125)</f>
        <v>4.55</v>
      </c>
    </row>
    <row r="132" ht="21.75" customHeight="1">
      <c r="A132" s="2"/>
      <c r="B132" s="2"/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7.0" customHeight="1">
      <c r="A134" s="4" t="s">
        <v>1314</v>
      </c>
      <c r="B134" s="4"/>
      <c r="C134" s="4"/>
      <c r="D134" s="4"/>
      <c r="E134" s="4"/>
      <c r="F134" s="4"/>
    </row>
    <row r="135" ht="48.75" customHeight="1">
      <c r="A135" s="5" t="s">
        <v>810</v>
      </c>
      <c r="B135" s="5" t="s">
        <v>1316</v>
      </c>
      <c r="C135" s="2"/>
      <c r="D135" s="2"/>
      <c r="E135" s="2"/>
      <c r="F135" s="2"/>
    </row>
    <row r="136" ht="37.5" customHeight="1">
      <c r="A136" s="15" t="s">
        <v>1046</v>
      </c>
      <c r="B136" s="36">
        <f>IF(OR(B98="",C124=""),"",B98+C124)</f>
        <v>4.75</v>
      </c>
      <c r="C136" s="2"/>
      <c r="D136" s="2"/>
      <c r="E136" s="2"/>
      <c r="F136" s="2"/>
    </row>
    <row r="137" ht="37.5" customHeight="1">
      <c r="A137" s="15" t="s">
        <v>1054</v>
      </c>
      <c r="B137" s="36">
        <f>IF(OR(B98="",C125=""),"",B98+C125)</f>
        <v>4.71</v>
      </c>
      <c r="C137" s="2"/>
      <c r="D137" s="2"/>
      <c r="E137" s="2"/>
      <c r="F137" s="2"/>
    </row>
    <row r="138" ht="21.75" customHeight="1">
      <c r="A138" s="2"/>
      <c r="B138" s="2"/>
      <c r="C138" s="2"/>
      <c r="D138" s="2"/>
      <c r="E138" s="2"/>
      <c r="F138" s="2"/>
    </row>
    <row r="139" ht="21.75" customHeight="1">
      <c r="A139" s="2"/>
      <c r="B139" s="2"/>
      <c r="C139" s="2"/>
      <c r="D139" s="2"/>
      <c r="E139" s="2"/>
      <c r="F139" s="2"/>
    </row>
    <row r="140" ht="22.5" customHeight="1">
      <c r="A140" s="3" t="s">
        <v>1321</v>
      </c>
      <c r="B140" s="3"/>
      <c r="C140" s="3"/>
      <c r="D140" s="3"/>
      <c r="E140" s="3"/>
      <c r="F140" s="3"/>
    </row>
    <row r="141" ht="22.5" customHeight="1">
      <c r="A141" s="3" t="s">
        <v>1322</v>
      </c>
      <c r="B141" s="3"/>
      <c r="C141" s="3"/>
      <c r="D141" s="3"/>
      <c r="E141" s="3"/>
      <c r="F141" s="3"/>
    </row>
    <row r="142" ht="27.0" customHeight="1">
      <c r="A142" s="4" t="s">
        <v>1323</v>
      </c>
      <c r="B142" s="4"/>
      <c r="C142" s="4"/>
      <c r="D142" s="4"/>
      <c r="E142" s="4"/>
      <c r="F142" s="4"/>
    </row>
    <row r="143" ht="48.75" customHeight="1">
      <c r="A143" s="5" t="s">
        <v>410</v>
      </c>
      <c r="B143" s="5" t="s">
        <v>852</v>
      </c>
      <c r="C143" s="2"/>
      <c r="D143" s="2"/>
      <c r="E143" s="2"/>
      <c r="F143" s="2"/>
    </row>
    <row r="144" ht="42.0" customHeight="1">
      <c r="A144" s="15" t="s">
        <v>1324</v>
      </c>
      <c r="B144" s="27">
        <v>14.0</v>
      </c>
      <c r="C144" s="2"/>
      <c r="D144" s="2"/>
      <c r="E144" s="2"/>
      <c r="F144" s="2"/>
    </row>
    <row r="145" ht="21.75" customHeight="1">
      <c r="A145" s="2"/>
      <c r="B145" s="2"/>
      <c r="C145" s="2"/>
      <c r="D145" s="2"/>
      <c r="E145" s="2"/>
      <c r="F145" s="2"/>
    </row>
    <row r="146" ht="21.75" customHeight="1">
      <c r="A146" s="2"/>
      <c r="B146" s="2"/>
      <c r="C146" s="2"/>
      <c r="D146" s="2"/>
      <c r="E146" s="2"/>
      <c r="F146" s="2"/>
    </row>
    <row r="147" ht="27.0" customHeight="1">
      <c r="A147" s="4" t="s">
        <v>1325</v>
      </c>
      <c r="B147" s="4"/>
      <c r="C147" s="4"/>
      <c r="D147" s="4"/>
      <c r="E147" s="4"/>
      <c r="F147" s="4"/>
    </row>
    <row r="148" ht="48.75" customHeight="1">
      <c r="A148" s="5" t="s">
        <v>1326</v>
      </c>
      <c r="B148" s="5" t="s">
        <v>1327</v>
      </c>
      <c r="C148" s="5" t="s">
        <v>1329</v>
      </c>
      <c r="D148" s="5" t="s">
        <v>1330</v>
      </c>
      <c r="E148" s="5" t="s">
        <v>1331</v>
      </c>
      <c r="F148" s="5" t="s">
        <v>1332</v>
      </c>
    </row>
    <row r="149" ht="37.5" customHeight="1">
      <c r="A149" s="15" t="s">
        <v>1333</v>
      </c>
      <c r="B149" s="27">
        <v>1.0</v>
      </c>
      <c r="C149" s="27">
        <v>4.0</v>
      </c>
      <c r="D149" s="27">
        <v>0.0</v>
      </c>
      <c r="E149" s="27"/>
      <c r="F149" s="27">
        <v>0.0</v>
      </c>
    </row>
    <row r="150" ht="37.5" customHeight="1">
      <c r="A150" s="15" t="s">
        <v>1338</v>
      </c>
      <c r="B150" s="27">
        <v>3.0</v>
      </c>
      <c r="C150" s="27">
        <v>5.0</v>
      </c>
      <c r="D150" s="27">
        <v>1.0</v>
      </c>
      <c r="E150" s="9">
        <v>6.0</v>
      </c>
      <c r="F150" s="27">
        <v>0.0</v>
      </c>
    </row>
    <row r="151" ht="37.5" customHeight="1">
      <c r="A151" s="15" t="s">
        <v>1339</v>
      </c>
      <c r="B151" s="27">
        <v>4.0</v>
      </c>
      <c r="C151" s="27">
        <v>6.0</v>
      </c>
      <c r="D151" s="27">
        <v>0.0</v>
      </c>
      <c r="E151" s="27"/>
      <c r="F151" s="27">
        <v>1.0</v>
      </c>
    </row>
    <row r="152" ht="37.5" customHeight="1">
      <c r="A152" s="15" t="s">
        <v>1340</v>
      </c>
      <c r="B152" s="27">
        <v>9.0</v>
      </c>
      <c r="C152" s="27">
        <v>7.0</v>
      </c>
      <c r="D152" s="27">
        <v>1.0</v>
      </c>
      <c r="E152" s="27">
        <v>16.0</v>
      </c>
      <c r="F152" s="27">
        <v>0.0</v>
      </c>
    </row>
    <row r="153" ht="37.5" customHeight="1">
      <c r="A153" s="15" t="s">
        <v>1341</v>
      </c>
      <c r="B153" s="27">
        <v>10.0</v>
      </c>
      <c r="C153" s="27">
        <v>8.0</v>
      </c>
      <c r="D153" s="27">
        <v>0.0</v>
      </c>
      <c r="E153" s="27"/>
      <c r="F153" s="27">
        <v>1.0</v>
      </c>
    </row>
    <row r="154" ht="21.75" customHeight="1">
      <c r="A154" s="2"/>
      <c r="B154" s="2"/>
      <c r="C154" s="2"/>
      <c r="D154" s="2"/>
      <c r="E154" s="2"/>
      <c r="F154" s="2"/>
    </row>
    <row r="155" ht="21.75" customHeight="1">
      <c r="A155" s="2"/>
      <c r="B155" s="2"/>
      <c r="C155" s="2"/>
      <c r="D155" s="2"/>
      <c r="E155" s="2"/>
      <c r="F155" s="2"/>
    </row>
    <row r="156" ht="22.5" customHeight="1">
      <c r="A156" s="3" t="s">
        <v>1342</v>
      </c>
      <c r="B156" s="3"/>
      <c r="C156" s="3"/>
      <c r="D156" s="3"/>
      <c r="E156" s="3"/>
      <c r="F156" s="3"/>
    </row>
    <row r="157" ht="22.5" customHeight="1">
      <c r="A157" s="23" t="s">
        <v>1343</v>
      </c>
      <c r="B157" s="23"/>
      <c r="C157" s="23"/>
      <c r="D157" s="23"/>
      <c r="E157" s="23"/>
      <c r="F157" s="23"/>
    </row>
    <row r="158" ht="21.75" customHeight="1">
      <c r="A158" s="2"/>
      <c r="B158" s="2"/>
      <c r="C158" s="2"/>
      <c r="D158" s="2"/>
      <c r="E158" s="2"/>
      <c r="F158" s="2"/>
    </row>
    <row r="159" ht="21.75" customHeight="1">
      <c r="A159" s="6" t="s">
        <v>266</v>
      </c>
      <c r="B159" s="2"/>
      <c r="C159" s="2"/>
      <c r="D159" s="2"/>
      <c r="E159" s="2"/>
      <c r="F159" s="2"/>
    </row>
    <row r="160" ht="22.5" customHeight="1">
      <c r="A160" s="3" t="s">
        <v>273</v>
      </c>
      <c r="B160" s="3"/>
      <c r="C160" s="3"/>
      <c r="D160" s="3"/>
      <c r="E160" s="3"/>
      <c r="F160" s="3"/>
    </row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11_Диагностика'!A93" ref="A4"/>
    <hyperlink display="Расчёт ниже ↓" location="'С11_Диагностика'!A128" ref="F27"/>
    <hyperlink display="Расчёт ниже ↓" location="'С11_Диагностика'!A128" ref="F28"/>
    <hyperlink display="Предыдущее решение команды →" location="'С10_Риски'!A1" ref="A15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1032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6" t="s">
        <v>5</v>
      </c>
      <c r="B3" s="2"/>
      <c r="C3" s="6" t="s">
        <v>10</v>
      </c>
      <c r="D3" s="2"/>
      <c r="E3" s="2"/>
      <c r="F3" s="2"/>
    </row>
    <row r="4" ht="21.75" customHeight="1">
      <c r="A4" s="6" t="s">
        <v>1047</v>
      </c>
      <c r="B4" s="2"/>
      <c r="C4" s="2"/>
      <c r="D4" s="2"/>
      <c r="E4" s="2"/>
      <c r="F4" s="2"/>
    </row>
    <row r="5" ht="22.5" customHeight="1">
      <c r="A5" s="10" t="s">
        <v>1048</v>
      </c>
      <c r="B5" s="10"/>
      <c r="C5" s="10"/>
      <c r="D5" s="10"/>
      <c r="E5" s="10"/>
      <c r="F5" s="10"/>
    </row>
    <row r="6" ht="22.5" customHeight="1">
      <c r="A6" s="3" t="s">
        <v>1049</v>
      </c>
      <c r="B6" s="3"/>
      <c r="C6" s="3"/>
      <c r="D6" s="3"/>
      <c r="E6" s="3"/>
      <c r="F6" s="3"/>
    </row>
    <row r="7" ht="22.5" customHeight="1">
      <c r="A7" s="3" t="s">
        <v>1050</v>
      </c>
      <c r="B7" s="3"/>
      <c r="C7" s="3"/>
      <c r="D7" s="3"/>
      <c r="E7" s="3"/>
      <c r="F7" s="3"/>
    </row>
    <row r="8" ht="22.5" customHeight="1">
      <c r="A8" s="3" t="s">
        <v>1051</v>
      </c>
      <c r="B8" s="3"/>
      <c r="C8" s="3"/>
      <c r="D8" s="3"/>
      <c r="E8" s="3"/>
      <c r="F8" s="3"/>
    </row>
    <row r="9" ht="22.5" customHeight="1">
      <c r="A9" s="3" t="s">
        <v>1053</v>
      </c>
      <c r="B9" s="3"/>
      <c r="C9" s="3"/>
      <c r="D9" s="3"/>
      <c r="E9" s="3"/>
      <c r="F9" s="3"/>
    </row>
    <row r="10" ht="22.5" customHeight="1">
      <c r="A10" s="3" t="s">
        <v>1055</v>
      </c>
      <c r="B10" s="3"/>
      <c r="C10" s="3"/>
      <c r="D10" s="3"/>
      <c r="E10" s="3"/>
      <c r="F10" s="3"/>
    </row>
    <row r="11" ht="22.5" customHeight="1">
      <c r="A11" s="3" t="s">
        <v>1056</v>
      </c>
      <c r="B11" s="3"/>
      <c r="C11" s="3"/>
      <c r="D11" s="3"/>
      <c r="E11" s="3"/>
      <c r="F11" s="3"/>
    </row>
    <row r="12" ht="22.5" customHeight="1">
      <c r="A12" s="3" t="s">
        <v>1057</v>
      </c>
      <c r="B12" s="3"/>
      <c r="C12" s="3"/>
      <c r="D12" s="3"/>
      <c r="E12" s="3"/>
      <c r="F12" s="3"/>
    </row>
    <row r="13" ht="22.5" customHeight="1">
      <c r="A13" s="3" t="s">
        <v>1058</v>
      </c>
      <c r="B13" s="3"/>
      <c r="C13" s="3"/>
      <c r="D13" s="3"/>
      <c r="E13" s="3"/>
      <c r="F13" s="3"/>
    </row>
    <row r="14" ht="22.5" customHeight="1">
      <c r="A14" s="3" t="s">
        <v>1059</v>
      </c>
      <c r="B14" s="3"/>
      <c r="C14" s="3"/>
      <c r="D14" s="3"/>
      <c r="E14" s="3"/>
      <c r="F14" s="3"/>
    </row>
    <row r="15" ht="22.5" customHeight="1">
      <c r="A15" s="3" t="s">
        <v>1062</v>
      </c>
      <c r="B15" s="3"/>
      <c r="C15" s="3"/>
      <c r="D15" s="3"/>
      <c r="E15" s="3"/>
      <c r="F15" s="3"/>
    </row>
    <row r="16" ht="22.5" customHeight="1">
      <c r="A16" s="3" t="s">
        <v>1064</v>
      </c>
      <c r="B16" s="3"/>
      <c r="C16" s="3"/>
      <c r="D16" s="3"/>
      <c r="E16" s="3"/>
      <c r="F16" s="3"/>
    </row>
    <row r="17" ht="22.5" customHeight="1">
      <c r="A17" s="3" t="s">
        <v>1066</v>
      </c>
      <c r="B17" s="3"/>
      <c r="C17" s="3"/>
      <c r="D17" s="3"/>
      <c r="E17" s="3"/>
      <c r="F17" s="3"/>
    </row>
    <row r="18" ht="22.5" customHeight="1">
      <c r="A18" s="3" t="s">
        <v>56</v>
      </c>
      <c r="B18" s="3"/>
      <c r="C18" s="3"/>
      <c r="D18" s="3"/>
      <c r="E18" s="3"/>
      <c r="F18" s="3"/>
    </row>
    <row r="19" ht="27.0" customHeight="1">
      <c r="A19" s="4" t="s">
        <v>1070</v>
      </c>
      <c r="B19" s="4"/>
      <c r="C19" s="4"/>
      <c r="D19" s="4"/>
      <c r="E19" s="4"/>
      <c r="F19" s="4"/>
    </row>
    <row r="20" ht="48.75" customHeight="1">
      <c r="A20" s="5" t="s">
        <v>1071</v>
      </c>
      <c r="B20" s="5" t="s">
        <v>1072</v>
      </c>
      <c r="C20" s="5" t="s">
        <v>1073</v>
      </c>
      <c r="D20" s="5" t="s">
        <v>1074</v>
      </c>
      <c r="E20" s="5" t="s">
        <v>1075</v>
      </c>
      <c r="F20" s="5" t="s">
        <v>583</v>
      </c>
    </row>
    <row r="21" ht="79.5" customHeight="1">
      <c r="A21" s="16"/>
      <c r="B21" s="16"/>
      <c r="C21" s="16"/>
      <c r="D21" s="16"/>
      <c r="E21" s="16"/>
      <c r="F21" s="16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352</v>
      </c>
      <c r="B24" s="4"/>
      <c r="C24" s="4"/>
      <c r="D24" s="4"/>
      <c r="E24" s="4"/>
      <c r="F24" s="4"/>
    </row>
    <row r="25" ht="48.75" customHeight="1">
      <c r="A25" s="5" t="s">
        <v>1081</v>
      </c>
      <c r="B25" s="5" t="s">
        <v>767</v>
      </c>
      <c r="C25" s="5" t="s">
        <v>185</v>
      </c>
      <c r="D25" s="5" t="s">
        <v>1082</v>
      </c>
      <c r="E25" s="5" t="s">
        <v>738</v>
      </c>
      <c r="F25" s="2"/>
    </row>
    <row r="26" ht="79.5" customHeight="1">
      <c r="A26" s="16"/>
      <c r="B26" s="16"/>
      <c r="C26" s="16"/>
      <c r="D26" s="16"/>
      <c r="E26" s="16"/>
      <c r="F26" s="2"/>
    </row>
    <row r="27" ht="21.75" customHeight="1">
      <c r="A27" s="2"/>
      <c r="B27" s="2"/>
      <c r="C27" s="2"/>
      <c r="D27" s="2"/>
      <c r="E27" s="2"/>
      <c r="F27" s="2"/>
    </row>
    <row r="28" ht="21.75" customHeight="1">
      <c r="A28" s="2"/>
      <c r="B28" s="2"/>
      <c r="C28" s="2"/>
      <c r="D28" s="2"/>
      <c r="E28" s="2"/>
      <c r="F28" s="2"/>
    </row>
    <row r="29" ht="27.0" customHeight="1">
      <c r="A29" s="4" t="s">
        <v>1084</v>
      </c>
      <c r="B29" s="4"/>
      <c r="C29" s="4"/>
      <c r="D29" s="4"/>
      <c r="E29" s="4"/>
      <c r="F29" s="4"/>
    </row>
    <row r="30" ht="48.75" customHeight="1">
      <c r="A30" s="5" t="s">
        <v>492</v>
      </c>
      <c r="B30" s="5" t="s">
        <v>1086</v>
      </c>
      <c r="C30" s="5" t="s">
        <v>629</v>
      </c>
      <c r="D30" s="5" t="s">
        <v>1087</v>
      </c>
      <c r="E30" s="5" t="s">
        <v>1090</v>
      </c>
      <c r="F30" s="2"/>
    </row>
    <row r="31" ht="79.5" customHeight="1">
      <c r="A31" s="7" t="s">
        <v>1092</v>
      </c>
      <c r="B31" s="16"/>
      <c r="C31" s="16"/>
      <c r="D31" s="16"/>
      <c r="E31" s="16"/>
      <c r="F31" s="2"/>
    </row>
    <row r="32" ht="79.5" customHeight="1">
      <c r="A32" s="7" t="s">
        <v>1099</v>
      </c>
      <c r="B32" s="16"/>
      <c r="C32" s="16"/>
      <c r="D32" s="16"/>
      <c r="E32" s="16"/>
      <c r="F32" s="2"/>
    </row>
    <row r="33" ht="79.5" customHeight="1">
      <c r="A33" s="7" t="s">
        <v>1101</v>
      </c>
      <c r="B33" s="16"/>
      <c r="C33" s="16"/>
      <c r="D33" s="16"/>
      <c r="E33" s="16"/>
      <c r="F33" s="2"/>
    </row>
    <row r="34" ht="79.5" customHeight="1">
      <c r="A34" s="7" t="s">
        <v>1104</v>
      </c>
      <c r="B34" s="16"/>
      <c r="C34" s="16"/>
      <c r="D34" s="16"/>
      <c r="E34" s="16"/>
      <c r="F34" s="2"/>
    </row>
    <row r="35" ht="79.5" customHeight="1">
      <c r="A35" s="7" t="s">
        <v>1106</v>
      </c>
      <c r="B35" s="16"/>
      <c r="C35" s="16"/>
      <c r="D35" s="16"/>
      <c r="E35" s="16"/>
      <c r="F35" s="2"/>
    </row>
    <row r="36" ht="21.75" customHeight="1">
      <c r="A36" s="2"/>
      <c r="B36" s="2"/>
      <c r="C36" s="2"/>
      <c r="D36" s="2"/>
      <c r="E36" s="2"/>
      <c r="F36" s="2"/>
    </row>
    <row r="37" ht="21.75" customHeight="1">
      <c r="A37" s="2"/>
      <c r="B37" s="2"/>
      <c r="C37" s="2"/>
      <c r="D37" s="2"/>
      <c r="E37" s="2"/>
      <c r="F37" s="2"/>
    </row>
    <row r="38" ht="27.0" customHeight="1">
      <c r="A38" s="4" t="s">
        <v>1112</v>
      </c>
      <c r="B38" s="4"/>
      <c r="C38" s="4"/>
      <c r="D38" s="4"/>
      <c r="E38" s="4"/>
      <c r="F38" s="4"/>
    </row>
    <row r="39" ht="48.75" customHeight="1">
      <c r="A39" s="5" t="s">
        <v>1117</v>
      </c>
      <c r="B39" s="5" t="s">
        <v>1120</v>
      </c>
      <c r="C39" s="5" t="s">
        <v>1122</v>
      </c>
      <c r="D39" s="5" t="s">
        <v>1123</v>
      </c>
      <c r="E39" s="5" t="s">
        <v>1125</v>
      </c>
      <c r="F39" s="2"/>
    </row>
    <row r="40" ht="79.5" customHeight="1">
      <c r="A40" s="7" t="s">
        <v>1128</v>
      </c>
      <c r="B40" s="16"/>
      <c r="C40" s="16"/>
      <c r="D40" s="16"/>
      <c r="E40" s="16"/>
      <c r="F40" s="2"/>
    </row>
    <row r="41" ht="79.5" customHeight="1">
      <c r="A41" s="7" t="s">
        <v>1133</v>
      </c>
      <c r="B41" s="16"/>
      <c r="C41" s="16"/>
      <c r="D41" s="16"/>
      <c r="E41" s="16"/>
      <c r="F41" s="2"/>
    </row>
    <row r="42" ht="79.5" customHeight="1">
      <c r="A42" s="7" t="s">
        <v>1137</v>
      </c>
      <c r="B42" s="16"/>
      <c r="C42" s="16"/>
      <c r="D42" s="16"/>
      <c r="E42" s="16"/>
      <c r="F42" s="2"/>
    </row>
    <row r="43" ht="79.5" customHeight="1">
      <c r="A43" s="7" t="s">
        <v>1139</v>
      </c>
      <c r="B43" s="16"/>
      <c r="C43" s="16"/>
      <c r="D43" s="16"/>
      <c r="E43" s="16"/>
      <c r="F43" s="2"/>
    </row>
    <row r="44" ht="79.5" customHeight="1">
      <c r="A44" s="7" t="s">
        <v>1143</v>
      </c>
      <c r="B44" s="16"/>
      <c r="C44" s="16"/>
      <c r="D44" s="16"/>
      <c r="E44" s="16"/>
      <c r="F44" s="2"/>
    </row>
    <row r="45" ht="21.75" customHeight="1">
      <c r="A45" s="2"/>
      <c r="B45" s="2"/>
      <c r="C45" s="2"/>
      <c r="D45" s="2"/>
      <c r="E45" s="2"/>
      <c r="F45" s="2"/>
    </row>
    <row r="46" ht="21.75" customHeight="1">
      <c r="A46" s="2"/>
      <c r="B46" s="2"/>
      <c r="C46" s="2"/>
      <c r="D46" s="2"/>
      <c r="E46" s="2"/>
      <c r="F46" s="2"/>
    </row>
    <row r="47" ht="27.0" customHeight="1">
      <c r="A47" s="4" t="s">
        <v>212</v>
      </c>
      <c r="B47" s="4"/>
      <c r="C47" s="4"/>
      <c r="D47" s="4"/>
      <c r="E47" s="4"/>
      <c r="F47" s="4"/>
    </row>
    <row r="48" ht="22.5" customHeight="1">
      <c r="A48" s="3" t="s">
        <v>1151</v>
      </c>
      <c r="B48" s="3"/>
      <c r="C48" s="3"/>
      <c r="D48" s="3"/>
      <c r="E48" s="3"/>
      <c r="F48" s="3"/>
    </row>
    <row r="49" ht="22.5" customHeight="1">
      <c r="A49" s="3" t="s">
        <v>1155</v>
      </c>
      <c r="B49" s="3"/>
      <c r="C49" s="3"/>
      <c r="D49" s="3"/>
      <c r="E49" s="3"/>
      <c r="F49" s="3"/>
    </row>
    <row r="50" ht="22.5" customHeight="1">
      <c r="A50" s="3" t="s">
        <v>1163</v>
      </c>
      <c r="B50" s="3"/>
      <c r="C50" s="3"/>
      <c r="D50" s="3"/>
      <c r="E50" s="3"/>
      <c r="F50" s="3"/>
    </row>
    <row r="51" ht="22.5" customHeight="1">
      <c r="A51" s="3" t="s">
        <v>1167</v>
      </c>
      <c r="B51" s="3"/>
      <c r="C51" s="3"/>
      <c r="D51" s="3"/>
      <c r="E51" s="3"/>
      <c r="F51" s="3"/>
    </row>
    <row r="52" ht="22.5" customHeight="1">
      <c r="A52" s="3" t="s">
        <v>1172</v>
      </c>
      <c r="B52" s="3"/>
      <c r="C52" s="3"/>
      <c r="D52" s="3"/>
      <c r="E52" s="3"/>
      <c r="F52" s="3"/>
    </row>
    <row r="53" ht="22.5" customHeight="1">
      <c r="A53" s="3" t="s">
        <v>1175</v>
      </c>
      <c r="B53" s="3"/>
      <c r="C53" s="3"/>
      <c r="D53" s="3"/>
      <c r="E53" s="3"/>
      <c r="F53" s="3"/>
    </row>
    <row r="54" ht="22.5" customHeight="1">
      <c r="A54" s="3" t="s">
        <v>1178</v>
      </c>
      <c r="B54" s="3"/>
      <c r="C54" s="3"/>
      <c r="D54" s="3"/>
      <c r="E54" s="3"/>
      <c r="F54" s="3"/>
    </row>
    <row r="55" ht="22.5" customHeight="1">
      <c r="A55" s="3" t="s">
        <v>1183</v>
      </c>
      <c r="B55" s="3"/>
      <c r="C55" s="3"/>
      <c r="D55" s="3"/>
      <c r="E55" s="3"/>
      <c r="F55" s="3"/>
    </row>
    <row r="56" ht="22.5" customHeight="1">
      <c r="A56" s="3" t="s">
        <v>1186</v>
      </c>
      <c r="B56" s="3"/>
      <c r="C56" s="3"/>
      <c r="D56" s="3"/>
      <c r="E56" s="3"/>
      <c r="F56" s="3"/>
    </row>
    <row r="57" ht="22.5" customHeight="1">
      <c r="A57" s="3" t="s">
        <v>1189</v>
      </c>
      <c r="B57" s="3"/>
      <c r="C57" s="3"/>
      <c r="D57" s="3"/>
      <c r="E57" s="3"/>
      <c r="F57" s="3"/>
    </row>
    <row r="58" ht="22.5" customHeight="1">
      <c r="A58" s="3" t="s">
        <v>1193</v>
      </c>
      <c r="B58" s="3"/>
      <c r="C58" s="3"/>
      <c r="D58" s="3"/>
      <c r="E58" s="3"/>
      <c r="F58" s="3"/>
    </row>
    <row r="59" ht="22.5" customHeight="1">
      <c r="A59" s="3" t="s">
        <v>1198</v>
      </c>
      <c r="B59" s="3"/>
      <c r="C59" s="3"/>
      <c r="D59" s="3"/>
      <c r="E59" s="3"/>
      <c r="F59" s="3"/>
    </row>
    <row r="60" ht="22.5" customHeight="1">
      <c r="A60" s="3" t="s">
        <v>1200</v>
      </c>
      <c r="B60" s="3"/>
      <c r="C60" s="3"/>
      <c r="D60" s="3"/>
      <c r="E60" s="3"/>
      <c r="F60" s="3"/>
    </row>
    <row r="61" ht="22.5" customHeight="1">
      <c r="A61" s="3" t="s">
        <v>1202</v>
      </c>
      <c r="B61" s="3"/>
      <c r="C61" s="3"/>
      <c r="D61" s="3"/>
      <c r="E61" s="3"/>
      <c r="F61" s="3"/>
    </row>
    <row r="62" ht="22.5" customHeight="1">
      <c r="A62" s="3" t="s">
        <v>1205</v>
      </c>
      <c r="B62" s="3"/>
      <c r="C62" s="3"/>
      <c r="D62" s="3"/>
      <c r="E62" s="3"/>
      <c r="F62" s="3"/>
    </row>
    <row r="63" ht="22.5" customHeight="1">
      <c r="A63" s="3" t="s">
        <v>1210</v>
      </c>
      <c r="B63" s="3"/>
      <c r="C63" s="3"/>
      <c r="D63" s="3"/>
      <c r="E63" s="3"/>
      <c r="F63" s="3"/>
    </row>
    <row r="64" ht="22.5" customHeight="1">
      <c r="A64" s="3" t="s">
        <v>1215</v>
      </c>
      <c r="B64" s="3"/>
      <c r="C64" s="3"/>
      <c r="D64" s="3"/>
      <c r="E64" s="3"/>
      <c r="F64" s="3"/>
    </row>
    <row r="65" ht="22.5" customHeight="1">
      <c r="A65" s="3" t="s">
        <v>1217</v>
      </c>
      <c r="B65" s="3"/>
      <c r="C65" s="3"/>
      <c r="D65" s="3"/>
      <c r="E65" s="3"/>
      <c r="F65" s="3"/>
    </row>
    <row r="66" ht="27.0" customHeight="1">
      <c r="A66" s="4" t="s">
        <v>392</v>
      </c>
      <c r="B66" s="4"/>
      <c r="C66" s="4"/>
      <c r="D66" s="4"/>
      <c r="E66" s="4"/>
      <c r="F66" s="4"/>
    </row>
    <row r="67" ht="22.5" customHeight="1">
      <c r="A67" s="10" t="s">
        <v>1222</v>
      </c>
      <c r="B67" s="10"/>
      <c r="C67" s="10"/>
      <c r="D67" s="10"/>
      <c r="E67" s="10"/>
      <c r="F67" s="10"/>
    </row>
    <row r="68" ht="22.5" customHeight="1">
      <c r="A68" s="3" t="s">
        <v>1224</v>
      </c>
      <c r="B68" s="3"/>
      <c r="C68" s="3"/>
      <c r="D68" s="3"/>
      <c r="E68" s="3"/>
      <c r="F68" s="3"/>
    </row>
    <row r="69" ht="22.5" customHeight="1">
      <c r="A69" s="3" t="s">
        <v>1227</v>
      </c>
      <c r="B69" s="3"/>
      <c r="C69" s="3"/>
      <c r="D69" s="3"/>
      <c r="E69" s="3"/>
      <c r="F69" s="3"/>
    </row>
    <row r="70" ht="22.5" customHeight="1">
      <c r="A70" s="3" t="s">
        <v>1232</v>
      </c>
      <c r="B70" s="3"/>
      <c r="C70" s="3"/>
      <c r="D70" s="3"/>
      <c r="E70" s="3"/>
      <c r="F70" s="3"/>
    </row>
    <row r="71" ht="22.5" customHeight="1">
      <c r="A71" s="3" t="s">
        <v>1235</v>
      </c>
      <c r="B71" s="3"/>
      <c r="C71" s="3"/>
      <c r="D71" s="3"/>
      <c r="E71" s="3"/>
      <c r="F71" s="3"/>
    </row>
    <row r="72" ht="22.5" customHeight="1">
      <c r="A72" s="3" t="s">
        <v>1237</v>
      </c>
      <c r="B72" s="3"/>
      <c r="C72" s="3"/>
      <c r="D72" s="3"/>
      <c r="E72" s="3"/>
      <c r="F72" s="3"/>
    </row>
    <row r="73" ht="22.5" customHeight="1">
      <c r="A73" s="3" t="s">
        <v>1240</v>
      </c>
      <c r="B73" s="3"/>
      <c r="C73" s="3"/>
      <c r="D73" s="3"/>
      <c r="E73" s="3"/>
      <c r="F73" s="3"/>
    </row>
    <row r="74" ht="22.5" customHeight="1">
      <c r="A74" s="3" t="s">
        <v>1249</v>
      </c>
      <c r="B74" s="3"/>
      <c r="C74" s="3"/>
      <c r="D74" s="3"/>
      <c r="E74" s="3"/>
      <c r="F74" s="3"/>
    </row>
    <row r="75" ht="22.5" customHeight="1">
      <c r="A75" s="3" t="s">
        <v>1254</v>
      </c>
      <c r="B75" s="3"/>
      <c r="C75" s="3"/>
      <c r="D75" s="3"/>
      <c r="E75" s="3"/>
      <c r="F75" s="3"/>
    </row>
    <row r="76" ht="22.5" customHeight="1">
      <c r="A76" s="3" t="s">
        <v>1261</v>
      </c>
      <c r="B76" s="3"/>
      <c r="C76" s="3"/>
      <c r="D76" s="3"/>
      <c r="E76" s="3"/>
      <c r="F76" s="3"/>
    </row>
    <row r="77" ht="22.5" customHeight="1">
      <c r="A77" s="3" t="s">
        <v>1266</v>
      </c>
      <c r="B77" s="3"/>
      <c r="C77" s="3"/>
      <c r="D77" s="3"/>
      <c r="E77" s="3"/>
      <c r="F77" s="3"/>
    </row>
    <row r="78" ht="27.0" customHeight="1">
      <c r="A78" s="4" t="s">
        <v>1267</v>
      </c>
      <c r="B78" s="4"/>
      <c r="C78" s="4"/>
      <c r="D78" s="4"/>
      <c r="E78" s="4"/>
      <c r="F78" s="4"/>
    </row>
    <row r="79" ht="48.75" customHeight="1">
      <c r="A79" s="5" t="s">
        <v>472</v>
      </c>
      <c r="B79" s="5" t="s">
        <v>489</v>
      </c>
      <c r="C79" s="5" t="s">
        <v>1087</v>
      </c>
      <c r="D79" s="2"/>
      <c r="E79" s="2"/>
      <c r="F79" s="2"/>
    </row>
    <row r="80" ht="57.0" customHeight="1">
      <c r="A80" s="15" t="s">
        <v>1092</v>
      </c>
      <c r="B80" s="15" t="s">
        <v>1271</v>
      </c>
      <c r="C80" s="15" t="s">
        <v>1272</v>
      </c>
      <c r="D80" s="2"/>
      <c r="E80" s="2"/>
      <c r="F80" s="2"/>
    </row>
    <row r="81" ht="42.0" customHeight="1">
      <c r="A81" s="15" t="s">
        <v>1099</v>
      </c>
      <c r="B81" s="15" t="s">
        <v>1273</v>
      </c>
      <c r="C81" s="15" t="s">
        <v>1274</v>
      </c>
      <c r="D81" s="2"/>
      <c r="E81" s="2"/>
      <c r="F81" s="2"/>
    </row>
    <row r="82" ht="42.0" customHeight="1">
      <c r="A82" s="15" t="s">
        <v>1101</v>
      </c>
      <c r="B82" s="15" t="s">
        <v>1275</v>
      </c>
      <c r="C82" s="15" t="s">
        <v>1276</v>
      </c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1.75" customHeight="1">
      <c r="A84" s="2"/>
      <c r="B84" s="2"/>
      <c r="C84" s="2"/>
      <c r="D84" s="2"/>
      <c r="E84" s="2"/>
      <c r="F84" s="2"/>
    </row>
    <row r="85" ht="27.0" customHeight="1">
      <c r="A85" s="4" t="s">
        <v>1277</v>
      </c>
      <c r="B85" s="4"/>
      <c r="C85" s="4"/>
      <c r="D85" s="4"/>
      <c r="E85" s="4"/>
      <c r="F85" s="4"/>
    </row>
    <row r="86" ht="48.75" customHeight="1">
      <c r="A86" s="5" t="s">
        <v>1278</v>
      </c>
      <c r="B86" s="5" t="s">
        <v>1279</v>
      </c>
      <c r="C86" s="5" t="s">
        <v>1280</v>
      </c>
      <c r="D86" s="2"/>
      <c r="E86" s="2"/>
      <c r="F86" s="2"/>
    </row>
    <row r="87" ht="102.0" customHeight="1">
      <c r="A87" s="15" t="s">
        <v>638</v>
      </c>
      <c r="B87" s="15" t="s">
        <v>1281</v>
      </c>
      <c r="C87" s="15" t="s">
        <v>1282</v>
      </c>
      <c r="D87" s="2"/>
      <c r="E87" s="2"/>
      <c r="F87" s="2"/>
    </row>
    <row r="88" ht="72.0" customHeight="1">
      <c r="A88" s="15" t="s">
        <v>696</v>
      </c>
      <c r="B88" s="15" t="s">
        <v>1283</v>
      </c>
      <c r="C88" s="15" t="s">
        <v>1284</v>
      </c>
      <c r="D88" s="2"/>
      <c r="E88" s="2"/>
      <c r="F88" s="2"/>
    </row>
    <row r="89" ht="102.0" customHeight="1">
      <c r="A89" s="15" t="s">
        <v>718</v>
      </c>
      <c r="B89" s="15" t="s">
        <v>1285</v>
      </c>
      <c r="C89" s="15" t="s">
        <v>1286</v>
      </c>
      <c r="D89" s="2"/>
      <c r="E89" s="2"/>
      <c r="F89" s="2"/>
    </row>
    <row r="90" ht="72.0" customHeight="1">
      <c r="A90" s="15" t="s">
        <v>748</v>
      </c>
      <c r="B90" s="15" t="s">
        <v>1288</v>
      </c>
      <c r="C90" s="15" t="s">
        <v>1289</v>
      </c>
      <c r="D90" s="2"/>
      <c r="E90" s="2"/>
      <c r="F90" s="2"/>
    </row>
    <row r="91" ht="87.0" customHeight="1">
      <c r="A91" s="15" t="s">
        <v>1290</v>
      </c>
      <c r="B91" s="15" t="s">
        <v>1293</v>
      </c>
      <c r="C91" s="15" t="s">
        <v>1296</v>
      </c>
      <c r="D91" s="2"/>
      <c r="E91" s="2"/>
      <c r="F91" s="2"/>
    </row>
    <row r="92" ht="87.0" customHeight="1">
      <c r="A92" s="15" t="s">
        <v>1297</v>
      </c>
      <c r="B92" s="15" t="s">
        <v>1298</v>
      </c>
      <c r="C92" s="15" t="s">
        <v>1299</v>
      </c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2.5" customHeight="1">
      <c r="A95" s="3" t="s">
        <v>263</v>
      </c>
      <c r="B95" s="3"/>
      <c r="C95" s="3"/>
      <c r="D95" s="3"/>
      <c r="E95" s="3"/>
      <c r="F95" s="3"/>
    </row>
    <row r="96" ht="27.0" customHeight="1">
      <c r="A96" s="4" t="s">
        <v>1301</v>
      </c>
      <c r="B96" s="4"/>
      <c r="C96" s="4"/>
      <c r="D96" s="4"/>
      <c r="E96" s="4"/>
      <c r="F96" s="4"/>
    </row>
    <row r="97" ht="48.75" customHeight="1">
      <c r="A97" s="5" t="s">
        <v>7</v>
      </c>
      <c r="B97" s="5" t="s">
        <v>411</v>
      </c>
      <c r="C97" s="2"/>
      <c r="D97" s="2"/>
      <c r="E97" s="2"/>
      <c r="F97" s="2"/>
    </row>
    <row r="98" ht="42.0" customHeight="1">
      <c r="A98" s="15" t="s">
        <v>1304</v>
      </c>
      <c r="B98" s="39">
        <f>IF('Начало'!B7="","",'Начало'!B7)</f>
        <v>11</v>
      </c>
      <c r="C98" s="2"/>
      <c r="D98" s="2"/>
      <c r="E98" s="2"/>
      <c r="F98" s="2"/>
    </row>
    <row r="99" ht="42.0" customHeight="1">
      <c r="A99" s="15" t="s">
        <v>1311</v>
      </c>
      <c r="B99" s="41"/>
      <c r="C99" s="2"/>
      <c r="D99" s="2"/>
      <c r="E99" s="2"/>
      <c r="F99" s="2"/>
    </row>
    <row r="100" ht="37.5" customHeight="1">
      <c r="A100" s="15" t="s">
        <v>1312</v>
      </c>
      <c r="B100" s="28" t="str">
        <f>IFERROR(IF(COUNT(B98)=0,IF(COUNTA(B99)=0,"",B99),CHOOSE(MOD(B98-1,6)+1,"A","B","C","D","E","F")),"")</f>
        <v>E</v>
      </c>
      <c r="C100" s="2"/>
      <c r="D100" s="2"/>
      <c r="E100" s="2"/>
      <c r="F100" s="2"/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1313</v>
      </c>
      <c r="B103" s="4"/>
      <c r="C103" s="4"/>
      <c r="D103" s="4"/>
      <c r="E103" s="4"/>
      <c r="F103" s="4"/>
    </row>
    <row r="104" ht="48.75" customHeight="1">
      <c r="A104" s="5" t="s">
        <v>410</v>
      </c>
      <c r="B104" s="5" t="s">
        <v>852</v>
      </c>
      <c r="C104" s="2"/>
      <c r="D104" s="2"/>
      <c r="E104" s="2"/>
      <c r="F104" s="2"/>
    </row>
    <row r="105" ht="37.5" customHeight="1">
      <c r="A105" s="15" t="s">
        <v>1315</v>
      </c>
      <c r="B105" s="27">
        <v>4.0</v>
      </c>
      <c r="C105" s="2"/>
      <c r="D105" s="2"/>
      <c r="E105" s="2"/>
      <c r="F105" s="2"/>
    </row>
    <row r="106" ht="37.5" customHeight="1">
      <c r="A106" s="15" t="s">
        <v>1317</v>
      </c>
      <c r="B106" s="27">
        <v>3.0</v>
      </c>
      <c r="C106" s="2"/>
      <c r="D106" s="2"/>
      <c r="E106" s="2"/>
      <c r="F106" s="2"/>
    </row>
    <row r="107" ht="37.5" customHeight="1">
      <c r="A107" s="15" t="s">
        <v>1230</v>
      </c>
      <c r="B107" s="32">
        <v>4.1</v>
      </c>
      <c r="C107" s="2"/>
      <c r="D107" s="2"/>
      <c r="E107" s="2"/>
      <c r="F107" s="2"/>
    </row>
    <row r="108" ht="37.5" customHeight="1">
      <c r="A108" s="15" t="s">
        <v>1318</v>
      </c>
      <c r="B108" s="32">
        <v>0.45</v>
      </c>
      <c r="C108" s="2"/>
      <c r="D108" s="2"/>
      <c r="E108" s="2"/>
      <c r="F108" s="2"/>
    </row>
    <row r="109" ht="37.5" customHeight="1">
      <c r="A109" s="15" t="s">
        <v>1319</v>
      </c>
      <c r="B109" s="32">
        <v>4.8</v>
      </c>
      <c r="C109" s="2"/>
      <c r="D109" s="2"/>
      <c r="E109" s="2"/>
      <c r="F109" s="2"/>
    </row>
    <row r="110" ht="37.5" customHeight="1">
      <c r="A110" s="15" t="s">
        <v>1320</v>
      </c>
      <c r="B110" s="31">
        <f>IF(COUNT(B107:B109)&lt;3,"",B109-B107-B108)</f>
        <v>0.25</v>
      </c>
      <c r="C110" s="2"/>
      <c r="D110" s="2"/>
      <c r="E110" s="2"/>
      <c r="F110" s="2"/>
    </row>
    <row r="111" ht="21.75" customHeight="1">
      <c r="A111" s="2"/>
      <c r="B111" s="2"/>
      <c r="C111" s="2"/>
      <c r="D111" s="2"/>
      <c r="E111" s="2"/>
      <c r="F111" s="2"/>
    </row>
    <row r="112" ht="21.75" customHeight="1">
      <c r="A112" s="2"/>
      <c r="B112" s="2"/>
      <c r="C112" s="2"/>
      <c r="D112" s="2"/>
      <c r="E112" s="2"/>
      <c r="F112" s="2"/>
    </row>
    <row r="113" ht="27.0" customHeight="1">
      <c r="A113" s="4" t="s">
        <v>1328</v>
      </c>
      <c r="B113" s="4"/>
      <c r="C113" s="4"/>
      <c r="D113" s="4"/>
      <c r="E113" s="4"/>
      <c r="F113" s="4"/>
    </row>
    <row r="114" ht="48.75" customHeight="1">
      <c r="A114" s="5" t="s">
        <v>1071</v>
      </c>
      <c r="B114" s="5" t="s">
        <v>1334</v>
      </c>
      <c r="C114" s="5" t="s">
        <v>1335</v>
      </c>
      <c r="D114" s="5" t="s">
        <v>1336</v>
      </c>
      <c r="E114" s="5" t="s">
        <v>1337</v>
      </c>
      <c r="F114" s="2"/>
    </row>
    <row r="115" ht="37.5" customHeight="1">
      <c r="A115" s="15" t="s">
        <v>638</v>
      </c>
      <c r="B115" s="32">
        <v>2.0</v>
      </c>
      <c r="C115" s="32">
        <v>0.12</v>
      </c>
      <c r="D115" s="32"/>
      <c r="E115" s="32">
        <v>1.0</v>
      </c>
      <c r="F115" s="2"/>
    </row>
    <row r="116" ht="37.5" customHeight="1">
      <c r="A116" s="15" t="s">
        <v>696</v>
      </c>
      <c r="B116" s="32">
        <v>4.0</v>
      </c>
      <c r="C116" s="32">
        <v>0.18</v>
      </c>
      <c r="D116" s="32"/>
      <c r="E116" s="32">
        <v>1.0</v>
      </c>
      <c r="F116" s="2"/>
    </row>
    <row r="117" ht="37.5" customHeight="1">
      <c r="A117" s="15" t="s">
        <v>718</v>
      </c>
      <c r="B117" s="32">
        <v>0.0</v>
      </c>
      <c r="C117" s="32">
        <v>0.05</v>
      </c>
      <c r="D117" s="32"/>
      <c r="E117" s="32">
        <v>1.0</v>
      </c>
      <c r="F117" s="2"/>
    </row>
    <row r="118" ht="37.5" customHeight="1">
      <c r="A118" s="15" t="s">
        <v>748</v>
      </c>
      <c r="B118" s="32">
        <v>0.0</v>
      </c>
      <c r="C118" s="32">
        <v>0.2</v>
      </c>
      <c r="D118" s="32">
        <v>1.0</v>
      </c>
      <c r="E118" s="32">
        <v>1.0</v>
      </c>
      <c r="F118" s="2"/>
    </row>
    <row r="119" ht="37.5" customHeight="1">
      <c r="A119" s="15" t="s">
        <v>1290</v>
      </c>
      <c r="B119" s="32">
        <v>3.0</v>
      </c>
      <c r="C119" s="32">
        <v>0.1</v>
      </c>
      <c r="D119" s="32"/>
      <c r="E119" s="32">
        <v>1.0</v>
      </c>
      <c r="F119" s="2"/>
    </row>
    <row r="120" ht="37.5" customHeight="1">
      <c r="A120" s="15" t="s">
        <v>1297</v>
      </c>
      <c r="B120" s="32">
        <v>0.0</v>
      </c>
      <c r="C120" s="32">
        <v>0.0</v>
      </c>
      <c r="D120" s="32"/>
      <c r="E120" s="32">
        <v>0.92</v>
      </c>
      <c r="F120" s="2"/>
    </row>
    <row r="121" ht="21.75" customHeight="1">
      <c r="A121" s="2"/>
      <c r="B121" s="2"/>
      <c r="C121" s="2"/>
      <c r="D121" s="2"/>
      <c r="E121" s="2"/>
      <c r="F121" s="2"/>
    </row>
    <row r="122" ht="21.75" customHeight="1">
      <c r="A122" s="2"/>
      <c r="B122" s="2"/>
      <c r="C122" s="2"/>
      <c r="D122" s="2"/>
      <c r="E122" s="2"/>
      <c r="F122" s="2"/>
    </row>
    <row r="123" ht="22.5" customHeight="1">
      <c r="A123" s="3" t="s">
        <v>1344</v>
      </c>
      <c r="B123" s="3"/>
      <c r="C123" s="3"/>
      <c r="D123" s="3"/>
      <c r="E123" s="3"/>
      <c r="F123" s="3"/>
    </row>
    <row r="124" ht="22.5" customHeight="1">
      <c r="A124" s="3" t="s">
        <v>1345</v>
      </c>
      <c r="B124" s="3"/>
      <c r="C124" s="3"/>
      <c r="D124" s="3"/>
      <c r="E124" s="3"/>
      <c r="F124" s="3"/>
    </row>
    <row r="125" ht="27.0" customHeight="1">
      <c r="A125" s="4" t="s">
        <v>1346</v>
      </c>
      <c r="B125" s="4"/>
      <c r="C125" s="4"/>
      <c r="D125" s="4"/>
      <c r="E125" s="4"/>
      <c r="F125" s="4"/>
    </row>
    <row r="126" ht="48.75" customHeight="1">
      <c r="A126" s="5" t="s">
        <v>849</v>
      </c>
      <c r="B126" s="5" t="s">
        <v>1347</v>
      </c>
      <c r="C126" s="2"/>
      <c r="D126" s="2"/>
      <c r="E126" s="2"/>
      <c r="F126" s="2"/>
    </row>
    <row r="127" ht="42.0" customHeight="1">
      <c r="A127" s="15" t="s">
        <v>1348</v>
      </c>
      <c r="B127" s="39">
        <f>IF(B100="","",IF(B100="A",MAX(B105,B106)+B115,IF(B100="B",MAX(B105+B116,B106),IF(B100="D",MAX(D118,B106),IF(B100="E",MAX(B105,B106)+B119,MAX(B105,B106))))))</f>
        <v>7</v>
      </c>
      <c r="C127" s="2"/>
      <c r="D127" s="2"/>
      <c r="E127" s="2"/>
      <c r="F127" s="2"/>
    </row>
    <row r="128" ht="42.0" customHeight="1">
      <c r="A128" s="15" t="s">
        <v>1349</v>
      </c>
      <c r="B128" s="40">
        <f>IF(B100="","",WORKDAY(DATE(2026,11,24),B127))</f>
        <v>46359</v>
      </c>
      <c r="C128" s="2"/>
      <c r="D128" s="2"/>
      <c r="E128" s="2"/>
      <c r="F128" s="2"/>
    </row>
    <row r="129" ht="37.5" customHeight="1">
      <c r="A129" s="15" t="s">
        <v>1350</v>
      </c>
      <c r="B129" s="42">
        <f>IF(B100="","",B107+B108+SUMIF(A115:A120,B100,C115:C120))</f>
        <v>4.65</v>
      </c>
      <c r="C129" s="2"/>
      <c r="D129" s="2"/>
      <c r="E129" s="2"/>
      <c r="F129" s="2"/>
    </row>
    <row r="130" ht="42.0" customHeight="1">
      <c r="A130" s="15" t="s">
        <v>1351</v>
      </c>
      <c r="B130" s="42">
        <f>IF(B100="","",B109*SUMIF(A115:A120,B100,E115:E120))</f>
        <v>4.8</v>
      </c>
      <c r="C130" s="2"/>
      <c r="D130" s="2"/>
      <c r="E130" s="2"/>
      <c r="F130" s="2"/>
    </row>
    <row r="131" ht="57.0" customHeight="1">
      <c r="A131" s="15" t="s">
        <v>1352</v>
      </c>
      <c r="B131" s="42">
        <f>IF(OR(B100="",B100="F"),"",B110-SUMIF(A115:A120,B100,C115:C120))</f>
        <v>0.15</v>
      </c>
      <c r="C131" s="2"/>
      <c r="D131" s="2"/>
      <c r="E131" s="2"/>
      <c r="F131" s="2"/>
    </row>
    <row r="132" ht="37.5" customHeight="1">
      <c r="A132" s="15" t="s">
        <v>1353</v>
      </c>
      <c r="B132" s="42">
        <f>IF(B100="","",MAX(0,B129-B130))</f>
        <v>0</v>
      </c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1354</v>
      </c>
      <c r="B135" s="3"/>
      <c r="C135" s="3"/>
      <c r="D135" s="3"/>
      <c r="E135" s="3"/>
      <c r="F135" s="3"/>
    </row>
    <row r="136" ht="22.5" customHeight="1">
      <c r="A136" s="3" t="s">
        <v>1355</v>
      </c>
      <c r="B136" s="3"/>
      <c r="C136" s="3"/>
      <c r="D136" s="3"/>
      <c r="E136" s="3"/>
      <c r="F136" s="3"/>
    </row>
    <row r="137" ht="22.5" customHeight="1">
      <c r="A137" s="3" t="s">
        <v>1356</v>
      </c>
      <c r="B137" s="3"/>
      <c r="C137" s="3"/>
      <c r="D137" s="3"/>
      <c r="E137" s="3"/>
      <c r="F137" s="3"/>
    </row>
    <row r="138" ht="22.5" customHeight="1">
      <c r="A138" s="3" t="s">
        <v>1357</v>
      </c>
      <c r="B138" s="3"/>
      <c r="C138" s="3"/>
      <c r="D138" s="3"/>
      <c r="E138" s="3"/>
      <c r="F138" s="3"/>
    </row>
    <row r="139" ht="21.75" customHeight="1">
      <c r="A139" s="2"/>
      <c r="B139" s="2"/>
      <c r="C139" s="2"/>
      <c r="D139" s="2"/>
      <c r="E139" s="2"/>
      <c r="F139" s="2"/>
    </row>
    <row r="140" ht="21.75" customHeight="1">
      <c r="A140" s="6" t="s">
        <v>266</v>
      </c>
      <c r="B140" s="2"/>
      <c r="C140" s="2"/>
      <c r="D140" s="2"/>
      <c r="E140" s="2"/>
      <c r="F140" s="2"/>
    </row>
    <row r="141" ht="22.5" customHeight="1">
      <c r="A141" s="3" t="s">
        <v>273</v>
      </c>
      <c r="B141" s="3"/>
      <c r="C141" s="3"/>
      <c r="D141" s="3"/>
      <c r="E141" s="3"/>
      <c r="F141" s="3"/>
    </row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99">
      <formula1>"A,B,C,D,E,F"</formula1>
    </dataValidation>
  </dataValidations>
  <hyperlinks>
    <hyperlink display="← Начало" location="'Начало'!A1" ref="A3"/>
    <hyperlink display="Кейс →" location="'Кейс'!A1" ref="C3"/>
    <hyperlink display="Выбор карточки и вводные ↓" location="'С12_Изменение'!A96" ref="A4"/>
    <hyperlink display="Предыдущее решение команды →" location="'С11_Диагностика'!A1" ref="A14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1078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6" t="s">
        <v>5</v>
      </c>
      <c r="B3" s="2"/>
      <c r="C3" s="6" t="s">
        <v>10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0" t="s">
        <v>1088</v>
      </c>
      <c r="B5" s="10"/>
      <c r="C5" s="10"/>
      <c r="D5" s="10"/>
      <c r="E5" s="10"/>
    </row>
    <row r="6" ht="22.5" customHeight="1">
      <c r="A6" s="3" t="s">
        <v>1089</v>
      </c>
      <c r="B6" s="3"/>
      <c r="C6" s="3"/>
      <c r="D6" s="3"/>
      <c r="E6" s="3"/>
    </row>
    <row r="7" ht="22.5" customHeight="1">
      <c r="A7" s="3" t="s">
        <v>1091</v>
      </c>
      <c r="B7" s="3"/>
      <c r="C7" s="3"/>
      <c r="D7" s="3"/>
      <c r="E7" s="3"/>
    </row>
    <row r="8" ht="22.5" customHeight="1">
      <c r="A8" s="3" t="s">
        <v>1093</v>
      </c>
      <c r="B8" s="3"/>
      <c r="C8" s="3"/>
      <c r="D8" s="3"/>
      <c r="E8" s="3"/>
    </row>
    <row r="9" ht="22.5" customHeight="1">
      <c r="A9" s="3" t="s">
        <v>1095</v>
      </c>
      <c r="B9" s="3"/>
      <c r="C9" s="3"/>
      <c r="D9" s="3"/>
      <c r="E9" s="3"/>
    </row>
    <row r="10" ht="22.5" customHeight="1">
      <c r="A10" s="3" t="s">
        <v>1097</v>
      </c>
      <c r="B10" s="3"/>
      <c r="C10" s="3"/>
      <c r="D10" s="3"/>
      <c r="E10" s="3"/>
    </row>
    <row r="11" ht="22.5" customHeight="1">
      <c r="A11" s="3" t="s">
        <v>1098</v>
      </c>
      <c r="B11" s="3"/>
      <c r="C11" s="3"/>
      <c r="D11" s="3"/>
      <c r="E11" s="3"/>
    </row>
    <row r="12" ht="22.5" customHeight="1">
      <c r="A12" s="3" t="s">
        <v>1100</v>
      </c>
      <c r="B12" s="3"/>
      <c r="C12" s="3"/>
      <c r="D12" s="3"/>
      <c r="E12" s="3"/>
    </row>
    <row r="13" ht="22.5" customHeight="1">
      <c r="A13" s="3" t="s">
        <v>1102</v>
      </c>
      <c r="B13" s="3"/>
      <c r="C13" s="3"/>
      <c r="D13" s="3"/>
      <c r="E13" s="3"/>
    </row>
    <row r="14" ht="22.5" customHeight="1">
      <c r="A14" s="3" t="s">
        <v>1103</v>
      </c>
      <c r="B14" s="3"/>
      <c r="C14" s="3"/>
      <c r="D14" s="3"/>
      <c r="E14" s="3"/>
    </row>
    <row r="15" ht="22.5" customHeight="1">
      <c r="A15" s="3" t="s">
        <v>1105</v>
      </c>
      <c r="B15" s="3"/>
      <c r="C15" s="3"/>
      <c r="D15" s="3"/>
      <c r="E15" s="3"/>
    </row>
    <row r="16" ht="22.5" customHeight="1">
      <c r="A16" s="3" t="s">
        <v>56</v>
      </c>
      <c r="B16" s="3"/>
      <c r="C16" s="3"/>
      <c r="D16" s="3"/>
      <c r="E16" s="3"/>
    </row>
    <row r="17" ht="27.0" customHeight="1">
      <c r="A17" s="4" t="s">
        <v>1108</v>
      </c>
      <c r="B17" s="4"/>
      <c r="C17" s="4"/>
      <c r="D17" s="4"/>
      <c r="E17" s="4"/>
    </row>
    <row r="18" ht="48.75" customHeight="1">
      <c r="A18" s="5" t="s">
        <v>1111</v>
      </c>
      <c r="B18" s="5" t="s">
        <v>1113</v>
      </c>
      <c r="C18" s="5" t="s">
        <v>1115</v>
      </c>
      <c r="D18" s="5" t="s">
        <v>360</v>
      </c>
      <c r="E18" s="5" t="s">
        <v>770</v>
      </c>
    </row>
    <row r="19" ht="79.5" customHeight="1">
      <c r="A19" s="7" t="s">
        <v>1119</v>
      </c>
      <c r="B19" s="16"/>
      <c r="C19" s="16"/>
      <c r="D19" s="16"/>
      <c r="E19" s="16"/>
    </row>
    <row r="20" ht="79.5" customHeight="1">
      <c r="A20" s="7" t="s">
        <v>1126</v>
      </c>
      <c r="B20" s="16"/>
      <c r="C20" s="16"/>
      <c r="D20" s="16"/>
      <c r="E20" s="16"/>
    </row>
    <row r="21" ht="79.5" customHeight="1">
      <c r="A21" s="7" t="s">
        <v>1129</v>
      </c>
      <c r="B21" s="16"/>
      <c r="C21" s="16"/>
      <c r="D21" s="16"/>
      <c r="E21" s="16"/>
    </row>
    <row r="22" ht="79.5" customHeight="1">
      <c r="A22" s="7" t="s">
        <v>1131</v>
      </c>
      <c r="B22" s="16"/>
      <c r="C22" s="16"/>
      <c r="D22" s="16"/>
      <c r="E22" s="16"/>
    </row>
    <row r="23" ht="79.5" customHeight="1">
      <c r="A23" s="7" t="s">
        <v>1134</v>
      </c>
      <c r="B23" s="16"/>
      <c r="C23" s="16"/>
      <c r="D23" s="16"/>
      <c r="E23" s="16"/>
    </row>
    <row r="24" ht="79.5" customHeight="1">
      <c r="A24" s="7" t="s">
        <v>1136</v>
      </c>
      <c r="B24" s="16"/>
      <c r="C24" s="16"/>
      <c r="D24" s="16"/>
      <c r="E24" s="16"/>
    </row>
    <row r="25" ht="21.75" customHeight="1">
      <c r="A25" s="2"/>
      <c r="B25" s="2"/>
      <c r="C25" s="2"/>
      <c r="D25" s="2"/>
      <c r="E25" s="2"/>
    </row>
    <row r="26" ht="21.75" customHeight="1">
      <c r="A26" s="2"/>
      <c r="B26" s="2"/>
      <c r="C26" s="2"/>
      <c r="D26" s="2"/>
      <c r="E26" s="2"/>
    </row>
    <row r="27" ht="27.0" customHeight="1">
      <c r="A27" s="4" t="s">
        <v>1142</v>
      </c>
      <c r="B27" s="4"/>
      <c r="C27" s="4"/>
      <c r="D27" s="4"/>
      <c r="E27" s="4"/>
    </row>
    <row r="28" ht="48.75" customHeight="1">
      <c r="A28" s="5" t="s">
        <v>1144</v>
      </c>
      <c r="B28" s="5" t="s">
        <v>115</v>
      </c>
      <c r="C28" s="5" t="s">
        <v>1145</v>
      </c>
      <c r="D28" s="5" t="s">
        <v>513</v>
      </c>
      <c r="E28" s="5" t="s">
        <v>738</v>
      </c>
    </row>
    <row r="29" ht="79.5" customHeight="1">
      <c r="A29" s="16"/>
      <c r="B29" s="16"/>
      <c r="C29" s="16"/>
      <c r="D29" s="16"/>
      <c r="E29" s="16"/>
    </row>
    <row r="30" ht="79.5" customHeight="1">
      <c r="A30" s="16"/>
      <c r="B30" s="16"/>
      <c r="C30" s="16"/>
      <c r="D30" s="16"/>
      <c r="E30" s="16"/>
    </row>
    <row r="31" ht="79.5" customHeight="1">
      <c r="A31" s="16"/>
      <c r="B31" s="16"/>
      <c r="C31" s="16"/>
      <c r="D31" s="16"/>
      <c r="E31" s="16"/>
    </row>
    <row r="32" ht="21.75" customHeight="1">
      <c r="A32" s="2"/>
      <c r="B32" s="2"/>
      <c r="C32" s="2"/>
      <c r="D32" s="2"/>
      <c r="E32" s="2"/>
    </row>
    <row r="33" ht="21.75" customHeight="1">
      <c r="A33" s="2"/>
      <c r="B33" s="2"/>
      <c r="C33" s="2"/>
      <c r="D33" s="2"/>
      <c r="E33" s="2"/>
    </row>
    <row r="34" ht="27.0" customHeight="1">
      <c r="A34" s="4" t="s">
        <v>1153</v>
      </c>
      <c r="B34" s="4"/>
      <c r="C34" s="4"/>
      <c r="D34" s="4"/>
      <c r="E34" s="4"/>
    </row>
    <row r="35" ht="48.75" customHeight="1">
      <c r="A35" s="5" t="s">
        <v>1157</v>
      </c>
      <c r="B35" s="5" t="s">
        <v>1158</v>
      </c>
      <c r="C35" s="5" t="s">
        <v>767</v>
      </c>
      <c r="D35" s="5" t="s">
        <v>1160</v>
      </c>
      <c r="E35" s="5" t="s">
        <v>1161</v>
      </c>
    </row>
    <row r="36" ht="79.5" customHeight="1">
      <c r="A36" s="26" t="s">
        <v>1164</v>
      </c>
      <c r="B36" s="16"/>
      <c r="C36" s="16"/>
      <c r="D36" s="16"/>
      <c r="E36" s="16"/>
    </row>
    <row r="37" ht="79.5" customHeight="1">
      <c r="A37" s="26" t="s">
        <v>1168</v>
      </c>
      <c r="B37" s="16"/>
      <c r="C37" s="16"/>
      <c r="D37" s="16"/>
      <c r="E37" s="16"/>
    </row>
    <row r="38" ht="79.5" customHeight="1">
      <c r="A38" s="26" t="s">
        <v>1171</v>
      </c>
      <c r="B38" s="16"/>
      <c r="C38" s="16"/>
      <c r="D38" s="16"/>
      <c r="E38" s="16"/>
    </row>
    <row r="39" ht="21.75" customHeight="1">
      <c r="A39" s="2"/>
      <c r="B39" s="2"/>
      <c r="C39" s="2"/>
      <c r="D39" s="2"/>
      <c r="E39" s="2"/>
    </row>
    <row r="40" ht="21.75" customHeight="1">
      <c r="A40" s="2"/>
      <c r="B40" s="2"/>
      <c r="C40" s="2"/>
      <c r="D40" s="2"/>
      <c r="E40" s="2"/>
    </row>
    <row r="41" ht="27.0" customHeight="1">
      <c r="A41" s="4" t="s">
        <v>212</v>
      </c>
      <c r="B41" s="4"/>
      <c r="C41" s="4"/>
      <c r="D41" s="4"/>
      <c r="E41" s="4"/>
    </row>
    <row r="42" ht="22.5" customHeight="1">
      <c r="A42" s="3" t="s">
        <v>1179</v>
      </c>
      <c r="B42" s="3"/>
      <c r="C42" s="3"/>
      <c r="D42" s="3"/>
      <c r="E42" s="3"/>
    </row>
    <row r="43" ht="22.5" customHeight="1">
      <c r="A43" s="3" t="s">
        <v>1181</v>
      </c>
      <c r="B43" s="3"/>
      <c r="C43" s="3"/>
      <c r="D43" s="3"/>
      <c r="E43" s="3"/>
    </row>
    <row r="44" ht="22.5" customHeight="1">
      <c r="A44" s="3" t="s">
        <v>1184</v>
      </c>
      <c r="B44" s="3"/>
      <c r="C44" s="3"/>
      <c r="D44" s="3"/>
      <c r="E44" s="3"/>
    </row>
    <row r="45" ht="22.5" customHeight="1">
      <c r="A45" s="3" t="s">
        <v>1187</v>
      </c>
      <c r="B45" s="3"/>
      <c r="C45" s="3"/>
      <c r="D45" s="3"/>
      <c r="E45" s="3"/>
    </row>
    <row r="46" ht="22.5" customHeight="1">
      <c r="A46" s="3" t="s">
        <v>1190</v>
      </c>
      <c r="B46" s="3"/>
      <c r="C46" s="3"/>
      <c r="D46" s="3"/>
      <c r="E46" s="3"/>
    </row>
    <row r="47" ht="22.5" customHeight="1">
      <c r="A47" s="3" t="s">
        <v>1192</v>
      </c>
      <c r="B47" s="3"/>
      <c r="C47" s="3"/>
      <c r="D47" s="3"/>
      <c r="E47" s="3"/>
    </row>
    <row r="48" ht="22.5" customHeight="1">
      <c r="A48" s="3" t="s">
        <v>1195</v>
      </c>
      <c r="B48" s="3"/>
      <c r="C48" s="3"/>
      <c r="D48" s="3"/>
      <c r="E48" s="3"/>
    </row>
    <row r="49" ht="22.5" customHeight="1">
      <c r="A49" s="3" t="s">
        <v>1197</v>
      </c>
      <c r="B49" s="3"/>
      <c r="C49" s="3"/>
      <c r="D49" s="3"/>
      <c r="E49" s="3"/>
    </row>
    <row r="50" ht="22.5" customHeight="1">
      <c r="A50" s="3" t="s">
        <v>1199</v>
      </c>
      <c r="B50" s="3"/>
      <c r="C50" s="3"/>
      <c r="D50" s="3"/>
      <c r="E50" s="3"/>
    </row>
    <row r="51" ht="22.5" customHeight="1">
      <c r="A51" s="3" t="s">
        <v>1201</v>
      </c>
      <c r="B51" s="3"/>
      <c r="C51" s="3"/>
      <c r="D51" s="3"/>
      <c r="E51" s="3"/>
    </row>
    <row r="52" ht="22.5" customHeight="1">
      <c r="A52" s="3" t="s">
        <v>1203</v>
      </c>
      <c r="B52" s="3"/>
      <c r="C52" s="3"/>
      <c r="D52" s="3"/>
      <c r="E52" s="3"/>
    </row>
    <row r="53" ht="22.5" customHeight="1">
      <c r="A53" s="3" t="s">
        <v>1206</v>
      </c>
      <c r="B53" s="3"/>
      <c r="C53" s="3"/>
      <c r="D53" s="3"/>
      <c r="E53" s="3"/>
    </row>
    <row r="54" ht="22.5" customHeight="1">
      <c r="A54" s="3" t="s">
        <v>1208</v>
      </c>
      <c r="B54" s="3"/>
      <c r="C54" s="3"/>
      <c r="D54" s="3"/>
      <c r="E54" s="3"/>
    </row>
    <row r="55" ht="22.5" customHeight="1">
      <c r="A55" s="3" t="s">
        <v>1211</v>
      </c>
      <c r="B55" s="3"/>
      <c r="C55" s="3"/>
      <c r="D55" s="3"/>
      <c r="E55" s="3"/>
    </row>
    <row r="56" ht="22.5" customHeight="1">
      <c r="A56" s="3" t="s">
        <v>1212</v>
      </c>
      <c r="B56" s="3"/>
      <c r="C56" s="3"/>
      <c r="D56" s="3"/>
      <c r="E56" s="3"/>
    </row>
    <row r="57" ht="22.5" customHeight="1">
      <c r="A57" s="3" t="s">
        <v>1213</v>
      </c>
      <c r="B57" s="3"/>
      <c r="C57" s="3"/>
      <c r="D57" s="3"/>
      <c r="E57" s="3"/>
    </row>
    <row r="58" ht="22.5" customHeight="1">
      <c r="A58" s="3" t="s">
        <v>1214</v>
      </c>
      <c r="B58" s="3"/>
      <c r="C58" s="3"/>
      <c r="D58" s="3"/>
      <c r="E58" s="3"/>
    </row>
    <row r="59" ht="22.5" customHeight="1">
      <c r="A59" s="3" t="s">
        <v>1216</v>
      </c>
      <c r="B59" s="3"/>
      <c r="C59" s="3"/>
      <c r="D59" s="3"/>
      <c r="E59" s="3"/>
    </row>
    <row r="60" ht="27.0" customHeight="1">
      <c r="A60" s="4" t="s">
        <v>392</v>
      </c>
      <c r="B60" s="4"/>
      <c r="C60" s="4"/>
      <c r="D60" s="4"/>
      <c r="E60" s="4"/>
    </row>
    <row r="61" ht="22.5" customHeight="1">
      <c r="A61" s="10" t="s">
        <v>1218</v>
      </c>
      <c r="B61" s="10"/>
      <c r="C61" s="10"/>
      <c r="D61" s="10"/>
      <c r="E61" s="10"/>
    </row>
    <row r="62" ht="22.5" customHeight="1">
      <c r="A62" s="3" t="s">
        <v>1220</v>
      </c>
      <c r="B62" s="3"/>
      <c r="C62" s="3"/>
      <c r="D62" s="3"/>
      <c r="E62" s="3"/>
    </row>
    <row r="63" ht="22.5" customHeight="1">
      <c r="A63" s="3" t="s">
        <v>1225</v>
      </c>
      <c r="B63" s="3"/>
      <c r="C63" s="3"/>
      <c r="D63" s="3"/>
      <c r="E63" s="3"/>
    </row>
    <row r="64" ht="22.5" customHeight="1">
      <c r="A64" s="3" t="s">
        <v>1226</v>
      </c>
      <c r="B64" s="3"/>
      <c r="C64" s="3"/>
      <c r="D64" s="3"/>
      <c r="E64" s="3"/>
    </row>
    <row r="65" ht="22.5" customHeight="1">
      <c r="A65" s="3" t="s">
        <v>1228</v>
      </c>
      <c r="B65" s="3"/>
      <c r="C65" s="3"/>
      <c r="D65" s="3"/>
      <c r="E65" s="3"/>
    </row>
    <row r="66" ht="22.5" customHeight="1">
      <c r="A66" s="3" t="s">
        <v>1229</v>
      </c>
      <c r="B66" s="3"/>
      <c r="C66" s="3"/>
      <c r="D66" s="3"/>
      <c r="E66" s="3"/>
    </row>
    <row r="67" ht="22.5" customHeight="1">
      <c r="A67" s="3" t="s">
        <v>1231</v>
      </c>
      <c r="B67" s="3"/>
      <c r="C67" s="3"/>
      <c r="D67" s="3"/>
      <c r="E67" s="3"/>
    </row>
    <row r="68" ht="22.5" customHeight="1">
      <c r="A68" s="3" t="s">
        <v>1233</v>
      </c>
      <c r="B68" s="3"/>
      <c r="C68" s="3"/>
      <c r="D68" s="3"/>
      <c r="E68" s="3"/>
    </row>
    <row r="69" ht="22.5" customHeight="1">
      <c r="A69" s="3" t="s">
        <v>1234</v>
      </c>
      <c r="B69" s="3"/>
      <c r="C69" s="3"/>
      <c r="D69" s="3"/>
      <c r="E69" s="3"/>
    </row>
    <row r="70" ht="27.0" customHeight="1">
      <c r="A70" s="4" t="s">
        <v>1236</v>
      </c>
      <c r="B70" s="4"/>
      <c r="C70" s="4"/>
      <c r="D70" s="4"/>
      <c r="E70" s="4"/>
    </row>
    <row r="71" ht="48.75" customHeight="1">
      <c r="A71" s="5" t="s">
        <v>472</v>
      </c>
      <c r="B71" s="5" t="s">
        <v>1239</v>
      </c>
      <c r="C71" s="5" t="s">
        <v>1128</v>
      </c>
      <c r="D71" s="5" t="s">
        <v>854</v>
      </c>
      <c r="E71" s="2"/>
    </row>
    <row r="72" ht="87.0" customHeight="1">
      <c r="A72" s="15" t="s">
        <v>1241</v>
      </c>
      <c r="B72" s="15" t="s">
        <v>1243</v>
      </c>
      <c r="C72" s="15" t="s">
        <v>1244</v>
      </c>
      <c r="D72" s="15" t="s">
        <v>1246</v>
      </c>
      <c r="E72" s="2"/>
    </row>
    <row r="73" ht="72.0" customHeight="1">
      <c r="A73" s="15" t="s">
        <v>1247</v>
      </c>
      <c r="B73" s="15" t="s">
        <v>1243</v>
      </c>
      <c r="C73" s="15" t="s">
        <v>1248</v>
      </c>
      <c r="D73" s="15" t="s">
        <v>1250</v>
      </c>
      <c r="E73" s="2"/>
    </row>
    <row r="74" ht="102.0" customHeight="1">
      <c r="A74" s="15" t="s">
        <v>1251</v>
      </c>
      <c r="B74" s="15" t="s">
        <v>1243</v>
      </c>
      <c r="C74" s="15" t="s">
        <v>1252</v>
      </c>
      <c r="D74" s="15" t="s">
        <v>1253</v>
      </c>
      <c r="E74" s="2"/>
    </row>
    <row r="75" ht="102.0" customHeight="1">
      <c r="A75" s="15" t="s">
        <v>1255</v>
      </c>
      <c r="B75" s="15" t="s">
        <v>1243</v>
      </c>
      <c r="C75" s="15" t="s">
        <v>1256</v>
      </c>
      <c r="D75" s="15" t="s">
        <v>1257</v>
      </c>
      <c r="E75" s="2"/>
    </row>
    <row r="76" ht="102.0" customHeight="1">
      <c r="A76" s="15" t="s">
        <v>1258</v>
      </c>
      <c r="B76" s="15" t="s">
        <v>1259</v>
      </c>
      <c r="C76" s="15" t="s">
        <v>1260</v>
      </c>
      <c r="D76" s="15" t="s">
        <v>1262</v>
      </c>
      <c r="E76" s="2"/>
    </row>
    <row r="77" ht="87.0" customHeight="1">
      <c r="A77" s="15" t="s">
        <v>1263</v>
      </c>
      <c r="B77" s="15" t="s">
        <v>1259</v>
      </c>
      <c r="C77" s="15" t="s">
        <v>1264</v>
      </c>
      <c r="D77" s="15" t="s">
        <v>1265</v>
      </c>
      <c r="E77" s="2"/>
    </row>
    <row r="78" ht="21.75" customHeight="1">
      <c r="A78" s="2"/>
      <c r="B78" s="2"/>
      <c r="C78" s="2"/>
      <c r="D78" s="2"/>
      <c r="E78" s="2"/>
    </row>
    <row r="79" ht="21.75" customHeight="1">
      <c r="A79" s="2"/>
      <c r="B79" s="2"/>
      <c r="C79" s="2"/>
      <c r="D79" s="2"/>
      <c r="E79" s="2"/>
    </row>
    <row r="80" ht="22.5" customHeight="1">
      <c r="A80" s="3" t="s">
        <v>263</v>
      </c>
      <c r="B80" s="3"/>
      <c r="C80" s="3"/>
      <c r="D80" s="3"/>
      <c r="E80" s="3"/>
    </row>
    <row r="81" ht="21.75" customHeight="1">
      <c r="A81" s="2"/>
      <c r="B81" s="2"/>
      <c r="C81" s="2"/>
      <c r="D81" s="2"/>
      <c r="E81" s="2"/>
    </row>
    <row r="82" ht="21.75" customHeight="1">
      <c r="A82" s="6" t="s">
        <v>266</v>
      </c>
      <c r="B82" s="2"/>
      <c r="C82" s="2"/>
      <c r="D82" s="2"/>
      <c r="E82" s="2"/>
    </row>
    <row r="83" ht="22.5" customHeight="1">
      <c r="A83" s="3" t="s">
        <v>273</v>
      </c>
      <c r="B83" s="3"/>
      <c r="C83" s="3"/>
      <c r="D83" s="3"/>
      <c r="E83" s="3"/>
    </row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12_Изменение'!A1" ref="A82"/>
  </hyperlinks>
  <printOptions horizontalCentered="1"/>
  <pageMargins bottom="0.35" footer="0.0" header="0.0" left="0.25" right="0.25" top="0.35"/>
  <pageSetup fitToHeight="0" paperSize="9" orientation="landscape"/>
  <drawing r:id="rId1"/>
</worksheet>
</file>