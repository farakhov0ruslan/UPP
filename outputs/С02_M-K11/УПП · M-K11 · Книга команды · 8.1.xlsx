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18eb0daaa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чало" sheetId="1" r:id="R5c441e99c7c4494e"/>
    <x:sheet xmlns:r="http://schemas.openxmlformats.org/officeDocument/2006/relationships" name="Кейс" sheetId="2" r:id="Rc4b5833802fc4626"/>
    <x:sheet xmlns:r="http://schemas.openxmlformats.org/officeDocument/2006/relationships" name="С01_Успех" sheetId="3" r:id="R8344a288134a4f1b"/>
    <x:sheet xmlns:r="http://schemas.openxmlformats.org/officeDocument/2006/relationships" name="С02_Решения" sheetId="4" r:id="R8812c1b35a824172"/>
    <x:sheet xmlns:r="http://schemas.openxmlformats.org/officeDocument/2006/relationships" name="С03_Подход" sheetId="5" r:id="Rb1507373315b47e1"/>
    <x:sheet xmlns:r="http://schemas.openxmlformats.org/officeDocument/2006/relationships" name="С04_Обоснование" sheetId="6" r:id="R52db266df5c3401c"/>
    <x:sheet xmlns:r="http://schemas.openxmlformats.org/officeDocument/2006/relationships" name="С05_Содержание" sheetId="7" r:id="Rbe15aced01c3477c"/>
    <x:sheet xmlns:r="http://schemas.openxmlformats.org/officeDocument/2006/relationships" name="С06_Расписание" sheetId="8" r:id="Rc76d4726a90748a8"/>
    <x:sheet xmlns:r="http://schemas.openxmlformats.org/officeDocument/2006/relationships" name="С07_Взаимодействие" sheetId="9" r:id="Re68dec70be314d5d"/>
    <x:sheet xmlns:r="http://schemas.openxmlformats.org/officeDocument/2006/relationships" name="С08_Экономика" sheetId="10" r:id="Ra1b64ee3e8424565"/>
    <x:sheet xmlns:r="http://schemas.openxmlformats.org/officeDocument/2006/relationships" name="С09_Готовность" sheetId="11" r:id="R526afbb8a6ed4ad6"/>
    <x:sheet xmlns:r="http://schemas.openxmlformats.org/officeDocument/2006/relationships" name="С10_Риски" sheetId="12" r:id="R79e3863a5a0b4a11"/>
    <x:sheet xmlns:r="http://schemas.openxmlformats.org/officeDocument/2006/relationships" name="С11_Диагностика" sheetId="13" r:id="R4d3f3f7b0174435e"/>
    <x:sheet xmlns:r="http://schemas.openxmlformats.org/officeDocument/2006/relationships" name="С12_Изменение" sheetId="14" r:id="R86c821ffd4b74095"/>
    <x:sheet xmlns:r="http://schemas.openxmlformats.org/officeDocument/2006/relationships" name="С13_Завершение" sheetId="15" r:id="R73a4d6e04dcb47c2"/>
  </x:sheets>
</x:workbook>
</file>

<file path=xl/sharedStrings.xml><?xml version="1.0" encoding="utf-8"?>
<x:sst xmlns:x="http://schemas.openxmlformats.org/spreadsheetml/2006/main">
  <x:si>
    <x:t xml:space="preserve">УПП · Москва · Книга команды · редакция 8.1</x:t>
  </x:si>
  <x:si>
    <x:t xml:space="preserve">Откройте текущий семинар по навигации ниже. Все ответы этого семинара — на одном листе.</x:t>
  </x:si>
  <x:si>
    <x:t xml:space="preserve">Ваша рабочая версия</x:t>
  </x:si>
  <x:si>
    <x:t xml:space="preserve">Поле</x:t>
  </x:si>
  <x:si>
    <x:t xml:space="preserve">Заполните один раз</x:t>
  </x:si>
  <x:si>
    <x:t xml:space="preserve">Код команды</x:t>
  </x:si>
  <x:si>
    <x:t xml:space="preserve">M-K11</x:t>
  </x:si>
  <x:si>
    <x:t xml:space="preserve">Номер команды для С12 (число)</x:t>
  </x:si>
  <x:si>
    <x:t xml:space="preserve">Версия / дата сохранения</x:t>
  </x:si>
  <x:si>
    <x:t xml:space="preserve">8.1 · 07.09.2026</x:t>
  </x:si>
  <x:si>
    <x:t xml:space="preserve">1. Заполните лист текущего СXX в этой книге. Жёлтые ячейки — ваш ввод; серые расчётные ячейки содержат формулы.</x:t>
  </x:si>
  <x:si>
    <x:t xml:space="preserve">2. Используйте готовые подходящие ответы. Если нужный ответ остался в прежней книге, сообщите преподавателю.</x:t>
  </x:si>
  <x:si>
    <x:t xml:space="preserve">3. Сохраните одну версию с кодом команды. Порядок сдачи, формат вложения и окончательные сроки — в «Старт студента».</x:t>
  </x:si>
  <x:si>
    <x:t xml:space="preserve">4. Это рабочая книга команды редакции 8.1. Выполняйте задание текущего занятия; после работы сохраните PDF.</x:t>
  </x:si>
  <x:si>
    <x:t xml:space="preserve">Будущие листы выполняйте после назначения соответствующей вводной. Даты внутри кейса — даты вымышленного проекта.</x:t>
  </x:si>
  <x:si>
    <x:t xml:space="preserve">Оценивание: итог = 0,5 × семинары + 0,5 × тест. Семинары = (КТ1 + КТ2 + КТ3 + Инд) / 4, все баллы 0–10. Одна доработка каждой КТ</x:t>
  </x:si>
  <x:si>
    <x:t xml:space="preserve">заменяет балл. Правила применяются после объявления.</x:t>
  </x:si>
  <x:si>
    <x:t xml:space="preserve">Навигация по работе</x:t>
  </x:si>
  <x:si>
    <x:t xml:space="preserve">Открыть</x:t>
  </x:si>
  <x:si>
    <x:t xml:space="preserve">Тема</x:t>
  </x:si>
  <x:si>
    <x:t xml:space="preserve">С01 →</x:t>
  </x:si>
  <x:si>
    <x:t xml:space="preserve">Предыдущая попытка UniFlow и критерии успеха</x:t>
  </x:si>
  <x:si>
    <x:t xml:space="preserve">С02 →</x:t>
  </x:si>
  <x:si>
    <x:t xml:space="preserve">Права решений и обращение к уполномоченному участнику</x:t>
  </x:si>
  <x:si>
    <x:t xml:space="preserve">С03 →</x:t>
  </x:si>
  <x:si>
    <x:t xml:space="preserve">Как организовать работу четырёх контуров UniFlow</x:t>
  </x:si>
  <x:si>
    <x:t xml:space="preserve">С04 →</x:t>
  </x:si>
  <x:si>
    <x:t xml:space="preserve">Обоснование и разрешение начать UniFlow</x:t>
  </x:si>
  <x:si>
    <x:t xml:space="preserve">С05 →</x:t>
  </x:si>
  <x:si>
    <x:t xml:space="preserve">От потребности к работе и доказательству</x:t>
  </x:si>
  <x:si>
    <x:t xml:space="preserve">С06 →</x:t>
  </x:si>
  <x:si>
    <x:t xml:space="preserve">Сеть, ресурсы и прогноз</x:t>
  </x:si>
  <x:si>
    <x:t xml:space="preserve">С07 →</x:t>
  </x:si>
  <x:si>
    <x:t xml:space="preserve">Кто выполняет работу и как разрешается конфликт</x:t>
  </x:si>
  <x:si>
    <x:t xml:space="preserve">С08 →</x:t>
  </x:si>
  <x:si>
    <x:t xml:space="preserve">Стоимость, два прогноза и выбор способа получить модуль</x:t>
  </x:si>
  <x:si>
    <x:t xml:space="preserve">С09 →</x:t>
  </x:si>
  <x:si>
    <x:t xml:space="preserve">Достаточно ли доказательств для допуска версии</x:t>
  </x:si>
  <x:si>
    <x:t xml:space="preserve">С10 →</x:t>
  </x:si>
  <x:si>
    <x:t xml:space="preserve">Риски: от возможного события к действию</x:t>
  </x:si>
  <x:si>
    <x:t xml:space="preserve">С11 →</x:t>
  </x:si>
  <x:si>
    <x:t xml:space="preserve">Диагноз состояния и два условных прогноза</x:t>
  </x:si>
  <x:si>
    <x:t xml:space="preserve">С12 →</x:t>
  </x:si>
  <x:si>
    <x:t xml:space="preserve">Изменение по остаточному плану</x:t>
  </x:si>
  <x:si>
    <x:t xml:space="preserve">С13 →</x:t>
  </x:si>
  <x:si>
    <x:t xml:space="preserve">Проверка пакета и решение о завершении</x:t>
  </x:si>
  <x:si>
    <x:t xml:space="preserve">Кейс UniFlow →</x:t>
  </x:si>
  <x:si>
    <x:t xml:space="preserve">Формы · Москва</x:t>
  </x:si>
  <x:si>
    <x:t xml:space="preserve">F00 · Регистрация</x:t>
  </x:si>
  <x:si>
    <x:t xml:space="preserve">https://docs.google.com/forms/d/e/1FAIpQLSdisiK_wQOd-ycAxOox6SBMcpzmipWoDN4THQraNrLZutM0nw/viewform</x:t>
  </x:si>
  <x:si>
    <x:t xml:space="preserve">F01 · Сдача результата и исправлений</x:t>
  </x:si>
  <x:si>
    <x:t xml:space="preserve">https://docs.google.com/forms/d/e/1FAIpQLSeZuHnj9XXZdZodWcyo4Xc-OIHkWSvuQwuZumWzaKhacBWY2A/viewform</x:t>
  </x:si>
  <x:si>
    <x:t xml:space="preserve">F02 · Перекрёстная проверка</x:t>
  </x:si>
  <x:si>
    <x:t xml:space="preserve">https://docs.google.com/forms/d/e/1FAIpQLSc1UQ_tAla-oqM9Iy6N2tYdIppjQA15e7nVRjIiaeeXXitqVg/viewform</x:t>
  </x:si>
  <x:si>
    <x:t xml:space="preserve">Ссылки сверены с действующими управляющими таблицами 6 сентября 2026 года. Порядок использования форм — в «Старт студента».</x:t>
  </x:si>
  <x:si>
    <x:t xml:space="preserve">Расписание семинаров смотрите в объявленном расписании кампуса. Поле сдачи в старой таблице пусто; 19:00 относилось к рецензии.</x:t>
  </x:si>
  <x:si>
    <x:t xml:space="preserve">Источники: Карточки С01–С13 редакции 8; Описание UniFlow; Вводные D03–D13; числовые вводные редакции 8.</x:t>
  </x:si>
  <x:si>
    <x:t xml:space="preserve">UniFlow · описание учебного кейса</x:t>
  </x:si>
  <x:si>
    <x:t xml:space="preserve">← Начало</x:t>
  </x:si>
  <x:si>
    <x:t xml:space="preserve">Курс «Управление программными проектами» · редакция 8 · 6 сентября 2026 года</x:t>
  </x:si>
  <x:si>
    <x:t xml:space="preserve">UniFlow — вымышленная информационная система сопровождения учебных проектов. На её примере вы будете принимать решения о целях,</x:t>
  </x:si>
  <x:si>
    <x:t xml:space="preserve">содержании, сроках, ресурсах, качестве и изменениях программного проекта. Разрабатывать работающую систему в рамках этих заданий не</x:t>
  </x:si>
  <x:si>
    <x:t xml:space="preserve">требуется. Результатом вашей работы станет пакет обоснованных управленческих решений.</x:t>
  </x:si>
  <x:si>
    <x:t xml:space="preserve">В этом тексте описаны организация, повседневная работа участников, предыдущая попытка внедрения и условия новой. Краткие</x:t>
  </x:si>
  <x:si>
    <x:t xml:space="preserve">характеристики собраны в конце. Для С01 особенно важны разделы о предыдущей попытке и наблюдениях; для С02 — участники и права</x:t>
  </x:si>
  <x:si>
    <x:t xml:space="preserve">решений. В последующих семинарах преподаватель выдаёт новые сведения с датой состояния проекта.</x:t>
  </x:si>
  <x:si>
    <x:t xml:space="preserve">Как устроена работа с учебными проектами</x:t>
  </x:si>
  <x:si>
    <x:t xml:space="preserve">В вымышленном университете студенты двух образовательных направлений выполняют учебные проекты в командах. У каждой команды есть</x:t>
  </x:si>
  <x:si>
    <x:t xml:space="preserve">руководитель. Работа разделена на контрольные точки: к согласованному сроку команда должна представить определённый результат, а</x:t>
  </x:si>
  <x:si>
    <x:t xml:space="preserve">руководитель — дать обратную связь. Координаторы следят за ходом работы всего потока и помогают разбирать отклонения.</x:t>
  </x:si>
  <x:si>
    <x:t xml:space="preserve">Например, к пятнице команда готовит описание проблемы и план проверки решения. Участник команды фиксирует результат и ссылку на</x:t>
  </x:si>
  <x:si>
    <x:t xml:space="preserve">материалы. Руководитель проверяет его, оставляет замечания и подтверждает статус контрольной точки. Если работа задерживается,</x:t>
  </x:si>
  <x:si>
    <x:t xml:space="preserve">координатор должен увидеть, какая команда отстаёт, чего не хватает и кто отвечает за следующий шаг. Для этого ему нужны актуальные</x:t>
  </x:si>
  <x:si>
    <x:t xml:space="preserve">сведения, а не только список зарегистрированных команд.</x:t>
  </x:si>
  <x:si>
    <x:t xml:space="preserve">В целевом процессе сведения проходят через UniFlow. Команда регистрирует состав и обновляет статусы, руководитель оставляет обратную</x:t>
  </x:si>
  <x:si>
    <x:t xml:space="preserve">связь, координатор видит сводку. Сами полные тексты работ хранятся в предназначенном для этого хранилище; UniFlow хранит сведения о</x:t>
  </x:si>
  <x:si>
    <x:t xml:space="preserve">ходе проекта и ссылки. Итоговые оценки выставляются в другой системе.</x:t>
  </x:si>
  <x:si>
    <x:t xml:space="preserve">Пользователи не всегда выполняют действия одновременно. Студент может сообщить об изменении в чате, руководитель — ответить письмом, а</x:t>
  </x:si>
  <x:si>
    <x:t xml:space="preserve">координатор — внести исправление в отдельную ведомость. Если не определено, какая запись считается актуальной и кто её обновляет,</x:t>
  </x:si>
  <x:si>
    <x:t xml:space="preserve">наличие общего портала не устраняет расхождения автоматически.</x:t>
  </x:si>
  <x:si>
    <x:t xml:space="preserve">Участники и их интересы</x:t>
  </x:si>
  <x:si>
    <x:t xml:space="preserve">Планируемый пилот охватывает 500 студентов, 60 руководителей учебных проектов и 6 администраторов двух направлений. В кейсе</x:t>
  </x:si>
  <x:si>
    <x:t xml:space="preserve">администратор, который собирает и сверяет сведения о ходе учебных проектов, называется координатором. Число учебных команд не задано;</x:t>
  </x:si>
  <x:si>
    <x:t xml:space="preserve">60 руководителей не означают 60 команд.</x:t>
  </x:si>
  <x:si>
    <x:t xml:space="preserve">Студентам важно один раз зафиксировать результат и понять, получен ли он руководителем. Руководителю нужны материалы, история</x:t>
  </x:si>
  <x:si>
    <x:t xml:space="preserve">замечаний и понятный список ожидающих ответа команд. Координатору нужна достоверная сводка без постоянной ручной сверки. Руководству</x:t>
  </x:si>
  <x:si>
    <x:t xml:space="preserve">важно видеть отклонения и получать измеримое улучшение процесса.</x:t>
  </x:si>
  <x:si>
    <x:t xml:space="preserve">Новый программный проект ведёт руководитель проекта, сокращённо РП. Он организует работу, собирает оценки и выносит решения за</x:t>
  </x:si>
  <x:si>
    <x:t xml:space="preserve">пределами своих полномочий нужным участникам. Владелец продукта определяет приоритеты функций и представляет потребности</x:t>
  </x:si>
  <x:si>
    <x:t xml:space="preserve">пользователей. Куратор проекта выделяет ресурсы, утверждает основные обязательства и принимает результат. Подразделение информационной</x:t>
  </x:si>
  <x:si>
    <x:t xml:space="preserve">безопасности, сокращённо ИБ, оценивает риски безопасности. Эксплуатация отвечает за готовность к работе системы и поддержки.</x:t>
  </x:si>
  <x:si>
    <x:t xml:space="preserve">Ваша реальная команда на курсе УПП анализирует этот вымышленный проект. Учебные роли внутри вашей команды — ведущий, секретарь,</x:t>
  </x:si>
  <x:si>
    <x:t xml:space="preserve">оператор, докладчик и другие — помогают организовать семинар. Они не дают автоматически полномочий куратора, владельца продукта или</x:t>
  </x:si>
  <x:si>
    <x:t xml:space="preserve">эксплуатации в кейсе.</x:t>
  </x:si>
  <x:si>
    <x:t xml:space="preserve">Предыдущая попытка UniFlow</x:t>
  </x:si>
  <x:si>
    <x:t xml:space="preserve">До рассматриваемого нового проекта в университете уже пытались внедрить портал UniFlow. Создали регистрацию команд, контрольные точки,</x:t>
  </x:si>
  <x:si>
    <x:t xml:space="preserve">обратную связь руководителя и панель координатора. Однако после завершения разработки участники продолжили пользоваться несколькими</x:t>
  </x:si>
  <x:si>
    <x:t xml:space="preserve">каналами, и заказчик остался недоволен организацией работы.</x:t>
  </x:si>
  <x:si>
    <x:t xml:space="preserve">Сохранились четыре итоговых утверждения о той попытке:</x:t>
  </x:si>
  <x:si>
    <x:t xml:space="preserve">Справочные сведения</x:t>
  </x:si>
  <x:si>
    <x:t xml:space="preserve">Код</x:t>
  </x:si>
  <x:si>
    <x:t xml:space="preserve">Сведения из отчёта</x:t>
  </x:si>
  <x:si>
    <x:t xml:space="preserve">U01</x:t>
  </x:si>
  <x:si>
    <x:t xml:space="preserve">Портал запущен в обещанный срок.</x:t>
  </x:si>
  <x:si>
    <x:t xml:space="preserve">U02</x:t>
  </x:si>
  <x:si>
    <x:t xml:space="preserve">Бюджет разработки превышен на 4%. Согласованный допуск превышения в материалах не указан.</x:t>
  </x:si>
  <x:si>
    <x:t xml:space="preserve">U03</x:t>
  </x:si>
  <x:si>
    <x:t xml:space="preserve">Все обещанные функции доступны. Это утверждение о составе реализованных функций.</x:t>
  </x:si>
  <x:si>
    <x:t xml:space="preserve">U04</x:t>
  </x:si>
  <x:si>
    <x:t xml:space="preserve">За первые 30 дней после запуска активны 12% зарегистрированных пользователей.</x:t>
  </x:si>
  <x:si>
    <x:t xml:space="preserve">В U04 активным считается зарегистрированный пользователь, выполнивший хотя бы одно целевое действие: создание или изменение записи</x:t>
  </x:si>
  <x:si>
    <x:t xml:space="preserve">команды, обновление контрольной точки, размещение обратной связи либо просмотр панели координатора. Повторные действия одного человека</x:t>
  </x:si>
  <x:si>
    <x:t xml:space="preserve">не увеличивают число активных пользователей. Показатель относится к зарегистрированным пользователям старого портала; нельзя</x:t>
  </x:si>
  <x:si>
    <x:t xml:space="preserve">автоматически использовать в его знаменателе 500 студентов нового пилота.</x:t>
  </x:si>
  <x:si>
    <x:t xml:space="preserve">Для этих 12% не предоставлены распределение активности по ролям, ожидаемая частота использования и согласованный целевой уровень.</x:t>
  </x:si>
  <x:si>
    <x:t xml:space="preserve">Низкая доля требует внимания, но сама по себе не объясняет причины и не измеряет пользу для организации. Аналогично наличие всех</x:t>
  </x:si>
  <x:si>
    <x:t xml:space="preserve">функций не доказывает удобство, надёжность или успешность полного рабочего сценария.</x:t>
  </x:si>
  <x:si>
    <x:t xml:space="preserve">Наблюдения о предыдущей попытке</x:t>
  </x:si>
  <x:si>
    <x:t xml:space="preserve">Ниже приведены дополнительные сведения учебного кейса. Используйте коды E01–E04, когда ссылаетесь на них в ответе. Они позволяют</x:t>
  </x:si>
  <x:si>
    <x:t xml:space="preserve">обсуждать причины, но не требуют от всех команд одинакового объяснения.</x:t>
  </x:si>
  <x:si>
    <x:t xml:space="preserve">E01 Приёмка функций. В сохранившемся протоколе проверено, что можно создать команду, добавить контрольную точку, сохранить обратную</x:t>
  </x:si>
  <x:si>
    <x:t xml:space="preserve">связь и открыть панель. Испытание полного сценария «команда сдала результат — руководитель ответил — координатор увидел актуальный</x:t>
  </x:si>
  <x:si>
    <x:t xml:space="preserve">статус» в протоколе не зафиксировано. Отсутствие записи об испытании не доказывает, что каждая функция работала плохо.</x:t>
  </x:si>
  <x:si>
    <x:t xml:space="preserve">E02 Работа после запуска. При наблюдении за подготовкой очередной сводки координатор сопоставлял записи портала, сообщения в чатах и</x:t>
  </x:si>
  <x:si>
    <x:t xml:space="preserve">отдельную ведомость. Часть руководителей оставляла замечания в портале, часть отвечала вне него. Уточнённые сведения не всегда</x:t>
  </x:si>
  <x:si>
    <x:t xml:space="preserve">попадали обратно в портал. Поэтому координатору приходилось выяснять, какая запись отражает последнее состояние работы.</x:t>
  </x:si>
  <x:si>
    <x:t xml:space="preserve">E03 Передача процесса. В переданном регламенте перечислены функции системы и контакты технической поддержки. В нём не определены</x:t>
  </x:si>
  <x:si>
    <x:t xml:space="preserve">единый источник актуального статуса, роль, обязанная обновлять его после замечаний руководителя, и срок такого обновления. Это</x:t>
  </x:si>
  <x:si>
    <x:t xml:space="preserve">установленный пробел конкретного регламента. Был ли он полностью или частично компенсирован устными договорённостями, неизвестно.</x:t>
  </x:si>
  <x:si>
    <x:t xml:space="preserve">E04 Оценка эффекта. В итоговом отчёте прошлой попытки нет согласованных порогов использования, качества полного сценария и</x:t>
  </x:si>
  <x:si>
    <x:t xml:space="preserve">организационного эффекта. Нет и сопоставимого замера времени ручной сверки до её внедрения. Заказчик сообщает, что ручная сверка</x:t>
  </x:si>
  <x:si>
    <x:t xml:space="preserve">сохранилась, но по этому отчёту нельзя вычислить, насколько она сократилась или выросла.</x:t>
  </x:si>
  <x:si>
    <x:t xml:space="preserve">Например, E02 и E03 позволяют выдвинуть гипотезу, что несогласованный порядок обновления статусов способствовал ручной сверке и снижал</x:t>
  </x:si>
  <x:si>
    <x:t xml:space="preserve">полезность панели. Они не доказывают отсутствие панели: по U03 она была реализована. Возможны и другие объяснения, для выбора между</x:t>
  </x:si>
  <x:si>
    <x:t xml:space="preserve">которыми понадобятся дополнительные сведения.</x:t>
  </x:si>
  <x:si>
    <x:t xml:space="preserve">Зачем запускается новая попытка</x:t>
  </x:si>
  <x:si>
    <x:t xml:space="preserve">Заказчик хочет наладить единый процесс сопровождения проектов. Новый проект должен связать действия студентов, руководителей и</x:t>
  </x:si>
  <x:si>
    <x:t xml:space="preserve">координаторов и подготовить дальнейшую эксплуатацию. Разработка функций рассматривается вместе с правилами их использования,</x:t>
  </x:si>
  <x:si>
    <x:t xml:space="preserve">ответственностью за данные и проверкой результата.</x:t>
  </x:si>
  <x:si>
    <x:t xml:space="preserve">Основная учебная ситуация С01–С04 — подготовка к решению о новом проекте 1 октября 2026 года. Два упражнения С02 о полномочиях</x:t>
  </x:si>
  <x:si>
    <x:t xml:space="preserve">отдельно предполагают уже авторизованный проект; это условный переход, обозначенный в задании. Заказчик задаёт предел бюджета 4,8 млн</x:t>
  </x:si>
  <x:si>
    <x:t xml:space="preserve">рублей и желаемое начало опытной эксплуатации 1 декабря 2026 года. На С04 вы подготовите обоснование и рекомендацию по авторизации.</x:t>
  </x:si>
  <x:si>
    <x:t xml:space="preserve">Последующие общие вводные курса будут явно сообщать, какая базовая версия принята для дальнейших упражнений.</x:t>
  </x:si>
  <x:si>
    <x:t xml:space="preserve">Пилот ограничен двумя направлениями. Он должен включать единый вход по университетской учётной записи, регистрацию команд, статусы и</x:t>
  </x:si>
  <x:si>
    <x:t xml:space="preserve">уведомления, обратную связь, панель координатора, разграничение прав, подготовку поддержки и восстановление данных. Единый вход</x:t>
  </x:si>
  <x:si>
    <x:t xml:space="preserve">обозначается SSO.</x:t>
  </x:si>
  <x:si>
    <x:t xml:space="preserve">Отдельный вопрос — дополнительный автоматический обмен сведениями с внешним реестром учебных проектов. Это не SSO. Его объём и</x:t>
  </x:si>
  <x:si>
    <x:t xml:space="preserve">зависимость от другой команды должны рассматриваться отдельно; изменения этой интеграции не отменяют требование безопасного входа.</x:t>
  </x:si>
  <x:si>
    <x:t xml:space="preserve">Новые вводные могут изменить состав такого обмена.</x:t>
  </x:si>
  <x:si>
    <x:t xml:space="preserve">За рамками пилота остаются проверка заимствований, выставление итоговых оценок, нативное мобильное приложение, хранение полных текстов</x:t>
  </x:si>
  <x:si>
    <x:t xml:space="preserve">работ и внедрение во всём университете. Предложение добавить одну из этих возможностей требует отдельного решения об изменении объёма.</x:t>
  </x:si>
  <x:si>
    <x:t xml:space="preserve">Исходные показатели и цели</x:t>
  </x:si>
  <x:si>
    <x:t xml:space="preserve">Перед новым проектом собраны сведения о текущем процессе. Они характеризуют отправную точку новой попытки. Их нельзя автоматически</x:t>
  </x:si>
  <x:si>
    <x:t xml:space="preserve">объявлять результатами старой разработки или доказательством её причин.</x:t>
  </x:si>
  <x:si>
    <x:t xml:space="preserve">M01 Видимость состояния. Доля учебных команд пилота, у которых есть полная карточка, а статус подтверждён не более семи календарных</x:t>
  </x:si>
  <x:si>
    <x:t xml:space="preserve">дней назад. Полная карточка содержит состав, ответственного за обновление, ближайшую контрольную точку и её срок, а также состояние</x:t>
  </x:si>
  <x:si>
    <x:t xml:space="preserve">последней контрольной точки. Знаменатель — все команды, включённые в реестр пилота на дату проверки. Исходное значение пока не</x:t>
  </x:si>
  <x:si>
    <x:t xml:space="preserve">измерено; цель — не менее 90%.</x:t>
  </x:si>
  <x:si>
    <x:t xml:space="preserve">M02 Просроченные контрольные точки. Доля контрольных точек, у которых результат не зафиксирован к согласованному сроку, среди всех</x:t>
  </x:si>
  <x:si>
    <x:t xml:space="preserve">контрольных точек со сроком в рассматриваемой неделе. Изменение срока учитывается только после согласования и сохраняется в истории.</x:t>
  </x:si>
  <x:si>
    <x:t xml:space="preserve">Исходное значение — 22%; цель — не более 10%. Это доля контрольных точек, а не доля студентов и не процент увеличения длительности</x:t>
  </x:si>
  <x:si>
    <x:t xml:space="preserve">проекта.</x:t>
  </x:si>
  <x:si>
    <x:t xml:space="preserve">M03 Время ручной сверки. Время координаторов на сбор и сопоставление сведений о статусах, в среднем на одну учебную команду за неделю.</x:t>
  </x:si>
  <x:si>
    <x:t xml:space="preserve">В него не входят содержательная проверка студенческой работы и консультации руководителя. Для расчёта суммируется время сверки по</x:t>
  </x:si>
  <x:si>
    <x:t xml:space="preserve">заранее закреплённой выборке учебных команд и делится на число всех команд этой выборки, включая команды с нулевыми затратами времени</x:t>
  </x:si>
  <x:si>
    <x:t xml:space="preserve">на сверку. До и после изменений используется одна и та же выборка и процедура учёта. Исходное значение — 25 минут; цель — не более 12</x:t>
  </x:si>
  <x:si>
    <x:t xml:space="preserve">минут. Нельзя умножать 25 минут на 60 руководителей или ещё раз на всех шестерых администраторов.</x:t>
  </x:si>
  <x:si>
    <x:t xml:space="preserve">M04 Удовлетворённость процессом. Средняя оценка удобства сопровождения проекта по шкале от 1 до 5 среди пользователей, которые</x:t>
  </x:si>
  <x:si>
    <x:t xml:space="preserve">выполняли целевые действия в период проверки. В отчёте сохраняются число ответов и их распределение по ролям. Исходное значение не</x:t>
  </x:si>
  <x:si>
    <x:t xml:space="preserve">измерено; цель — не ниже 4,0. Отсутствующий замер не равен нулю.</x:t>
  </x:si>
  <x:si>
    <x:t xml:space="preserve">Цели M01–M04 предлагаются заказчиком для оценки первых четырёх недель пилота, с контрольным срезом 28 декабря 2026 года. До старта</x:t>
  </x:si>
  <x:si>
    <x:t xml:space="preserve">требуется получить отсутствующие исходные замеры и согласовать протокол измерения. Владелец продукта организует измерение M01 и M04,</x:t>
  </x:si>
  <x:si>
    <x:t xml:space="preserve">координатор — M02 и M03. На семинарах можно аргументированно обсуждать достаточность этих показателей и предлагать дополнения;</x:t>
  </x:si>
  <x:si>
    <x:t xml:space="preserve">предложенный критерий нужно отделять от уже заданного.</x:t>
  </x:si>
  <x:si>
    <x:t xml:space="preserve">Начало пилота 1 декабря и достижение эффекта к 28 декабря — разные проверки. Для допуска к пилоту сначала нужны доказательства</x:t>
  </x:si>
  <x:si>
    <x:t xml:space="preserve">работоспособности обязательных сценариев, разграничения прав, восстановления данных и готовности поддержки. Условия конкретной</x:t>
  </x:si>
  <x:si>
    <x:t xml:space="preserve">проверки качества будут выданы в соответствующем семинаре.</x:t>
  </x:si>
  <x:si>
    <x:t xml:space="preserve">Кто принимает решения</x:t>
  </x:si>
  <x:si>
    <x:t xml:space="preserve">Для упражнений действует следующий каталог. РП готовит решение и организует взаимодействие, но не получает автоматически последнее</x:t>
  </x:si>
  <x:si>
    <x:t xml:space="preserve">слово во всех вопросах.</x:t>
  </x:si>
  <x:si>
    <x:t xml:space="preserve">Решение</x:t>
  </x:si>
  <x:si>
    <x:t xml:space="preserve">Кто окончательно решает</x:t>
  </x:si>
  <x:si>
    <x:t xml:space="preserve">P01</x:t>
  </x:si>
  <x:si>
    <x:t xml:space="preserve">Авторизовать проект и выделить ресурсы</x:t>
  </x:si>
  <x:si>
    <x:t xml:space="preserve">Куратор</x:t>
  </x:si>
  <x:si>
    <x:t xml:space="preserve">P02</x:t>
  </x:si>
  <x:si>
    <x:t xml:space="preserve">Изменить приоритет функций в пределах согласованных границ</x:t>
  </x:si>
  <x:si>
    <x:t xml:space="preserve">Владелец продукта</x:t>
  </x:si>
  <x:si>
    <x:t xml:space="preserve">P03</x:t>
  </x:si>
  <x:si>
    <x:t xml:space="preserve">Изменить базовую дату проекта</x:t>
  </x:si>
  <x:si>
    <x:t xml:space="preserve">P04</x:t>
  </x:si>
  <x:si>
    <x:t xml:space="preserve">Допустить конкретную версию к опытной эксплуатации</x:t>
  </x:si>
  <x:si>
    <x:t xml:space="preserve">Эксплуатация</x:t>
  </x:si>
  <x:si>
    <x:t xml:space="preserve">P05</x:t>
  </x:si>
  <x:si>
    <x:t xml:space="preserve">Принять остаточный риск информационной безопасности</x:t>
  </x:si>
  <x:si>
    <x:t xml:space="preserve">ИБ</x:t>
  </x:si>
  <x:si>
    <x:t xml:space="preserve">P06</x:t>
  </x:si>
  <x:si>
    <x:t xml:space="preserve">Принять результат проекта относительно согласованных обязательств</x:t>
  </x:si>
  <x:si>
    <x:t xml:space="preserve">Одна просьба может потребовать нескольких отдельных решений. Например, перенос даты не заменяет допуск версии, а согласие владельца</x:t>
  </x:si>
  <x:si>
    <x:t xml:space="preserve">продукта не заменяет принятие риска ИБ. Перед решением нужно определить, какие данные требуются и чьё заключение обязательно. Если</x:t>
  </x:si>
  <x:si>
    <x:t xml:space="preserve">полномочие не задано, команда должна указать необходимость его уточнения, а не назначать его молча.</x:t>
  </x:si>
  <x:si>
    <x:t xml:space="preserve">Как использовать кейс на курсе</x:t>
  </x:si>
  <x:si>
    <x:t xml:space="preserve">На С01 вы оцениваете предыдущую попытку и предлагаете первое управленческое действие для новой. На С02 разбираете права решений. Далее</x:t>
  </x:si>
  <x:si>
    <x:t xml:space="preserve">выбираете подход, готовите обоснование, связываете требования с работами, рассчитываете варианты и оцениваете новые состояния проекта.</x:t>
  </x:si>
  <x:si>
    <x:t xml:space="preserve">Новые события выдаются как общие учебные вводные с датой и версией. Они не являются автоматически последствиями решения вашей команды.</x:t>
  </x:si>
  <x:si>
    <x:t xml:space="preserve">Свои рекомендации сохраняйте: при переходе к общей вводной можно сравнить их с принятым в упражнении сценарием. Для расчётной сети или</x:t>
  </x:si>
  <x:si>
    <x:t xml:space="preserve">отдельного журнала метрик будет прямо указано, что это учебная модель и какие выводы можно переносить на UniFlow.</x:t>
  </x:si>
  <x:si>
    <x:t xml:space="preserve">В ответе указывайте код факта или показатель, объясняйте ход рассуждения и отмечайте неизвестное. Недостаток данных допустимо</x:t>
  </x:si>
  <x:si>
    <x:t xml:space="preserve">обнаружить; если задание требует решения, предложите соразмерное ему действие по получению сведений или условное решение. Не нужно</x:t>
  </x:si>
  <x:si>
    <x:t xml:space="preserve">заполнять пробел удобной догадкой и выдавать её за установленное обстоятельство.</x:t>
  </x:si>
  <x:si>
    <x:t xml:space="preserve">Краткая справка</x:t>
  </x:si>
  <x:si>
    <x:t xml:space="preserve">Параметр</x:t>
  </x:si>
  <x:si>
    <x:t xml:space="preserve">Значение</x:t>
  </x:si>
  <x:si>
    <x:t xml:space="preserve">Продукт</x:t>
  </x:si>
  <x:si>
    <x:t xml:space="preserve">Система сопровождения учебных проектов</x:t>
  </x:si>
  <x:si>
    <x:t xml:space="preserve">Пилот</x:t>
  </x:si>
  <x:si>
    <x:t xml:space="preserve">Два направления; 500 студентов; 60 руководителей; 6 администраторов</x:t>
  </x:si>
  <x:si>
    <x:t xml:space="preserve">Ограничения нового проекта</x:t>
  </x:si>
  <x:si>
    <x:t xml:space="preserve">4,8 млн рублей; начало пилота 1 декабря 2026 года</x:t>
  </x:si>
  <x:si>
    <x:t xml:space="preserve">Контроль эффекта</x:t>
  </x:si>
  <x:si>
    <x:t xml:space="preserve">Первые четыре недели пилота; срез 28 декабря 2026 года</x:t>
  </x:si>
  <x:si>
    <x:t xml:space="preserve">M01 Видимость состояния</x:t>
  </x:si>
  <x:si>
    <x:t xml:space="preserve">Исходный замер не выполнен; цель ≥90%</x:t>
  </x:si>
  <x:si>
    <x:t xml:space="preserve">M02 Просроченные контрольные точки</x:t>
  </x:si>
  <x:si>
    <x:t xml:space="preserve">22% → ≤10%</x:t>
  </x:si>
  <x:si>
    <x:t xml:space="preserve">M03 Ручная сверка</x:t>
  </x:si>
  <x:si>
    <x:t xml:space="preserve">25 → ≤12 минут на одну учебную команду за неделю</x:t>
  </x:si>
  <x:si>
    <x:t xml:space="preserve">M04 Удовлетворённость</x:t>
  </x:si>
  <x:si>
    <x:t xml:space="preserve">Исходный замер не выполнен; цель ≥4,0 из 5</x:t>
  </x:si>
  <x:si>
    <x:t xml:space="preserve">Прошлая попытка</x:t>
  </x:si>
  <x:si>
    <x:t xml:space="preserve">Факты U01–U04 и наблюдения E01–E04 этого описания</x:t>
  </x:si>
  <x:si>
    <x:t xml:space="preserve">Права решений</x:t>
  </x:si>
  <x:si>
    <x:t xml:space="preserve">Каталог P01–P06 этого описания</x:t>
  </x:si>
  <x:si>
    <x:t xml:space="preserve">Источник исходного замысла — материалы курса УПП версии 7. UniFlow и приведённые ситуации вымышлены и предназначены для обучения.</x:t>
  </x:si>
  <x:si>
    <x:t xml:space="preserve">Определения, наблюдения и границы учебных моделей уточнены в редакции 8; используйте их последовательно во всех связанных заданиях.</x:t>
  </x:si>
  <x:si>
    <x:t xml:space="preserve">С01 · Предыдущая попытка UniFlow и критерии успеха</x:t>
  </x:si>
  <x:si>
    <x:t xml:space="preserve">Кейс →</x:t>
  </x:si>
  <x:si>
    <x:t xml:space="preserve">PDF С01: выделите A1:F43 → Печать → Выбранные ячейки; альбомная, по ширине.</x:t>
  </x:si>
  <x:si>
    <x:t xml:space="preserve">Различить исполнение проекта, качество результата, использование и эффект; обосновать первое действие для новой попытки.</x:t>
  </x:si>
  <x:si>
    <x:t xml:space="preserve">Состояние: Рассматривается предыдущая попытка UniFlow. Цели M01–M04 характеризуют новую попытку и не становятся задним числом</x:t>
  </x:si>
  <x:si>
    <x:t xml:space="preserve">условиями приёмки старой.</x:t>
  </x:si>
  <x:si>
    <x:t xml:space="preserve">Задание: Четыре осмысленные строки оценки, одна обоснованная цепочка, четыре критерия и одно действие. Достаточно читаемых</x:t>
  </x:si>
  <x:si>
    <x:t xml:space="preserve">формулировок в одном листе; отдельный большой отчёт не требуется.</x:t>
  </x:si>
  <x:si>
    <x:t xml:space="preserve">Описание UniFlow: разделы о предыдущей попытке, наблюдениях и новых целях; факты U01–U04, наблюдения E01–E04, показатели M01–M04.</x:t>
  </x:si>
  <x:si>
    <x:t xml:space="preserve">Что студент уже знает о полномочиях
Куратор разрешает запуск и изменение базовой даты, принимает результат; владелец продукта меняет приоритеты в согласованных границах. Эксплуатация допускает версию к пилоту; ИБ принимает остаточный риск ИБ.
Кто утверждает регламент учебного процесса, пока не задано: предложите участника для подготовки решения, а право утверждения уточните в поле «Открытый вопрос». Каталог P01–P06 разберём на Л02/С02.</x:t>
  </x:si>
  <x:si>
    <x:t xml:space="preserve">Заполняйте жёлтые ячейки, в том числе поля с кодом или подписью. Неизвестное отмечайте словами, не нулём.</x:t>
  </x:si>
  <x:si>
    <x:t xml:space="preserve">Оценка предыдущей попытки</x:t>
  </x:si>
  <x:si>
    <x:t xml:space="preserve">Измерение</x:t>
  </x:si>
  <x:si>
    <x:t xml:space="preserve">Факт и код</x:t>
  </x:si>
  <x:si>
    <x:t xml:space="preserve">Допустимый вывод</x:t>
  </x:si>
  <x:si>
    <x:t xml:space="preserve">Чего не хватает</x:t>
  </x:si>
  <x:si>
    <x:t xml:space="preserve">Исполнение</x:t>
  </x:si>
  <x:si>
    <x:t xml:space="preserve">Качество</x:t>
  </x:si>
  <x:si>
    <x:t xml:space="preserve">Использование</x:t>
  </x:si>
  <x:si>
    <x:t xml:space="preserve">Эффект</x:t>
  </x:si>
  <x:si>
    <x:t xml:space="preserve">Причинная цепочка</x:t>
  </x:si>
  <x:si>
    <x:t xml:space="preserve">Шаг</x:t>
  </x:si>
  <x:si>
    <x:t xml:space="preserve">Ответ и основание</x:t>
  </x:si>
  <x:si>
    <x:t xml:space="preserve">Наблюдаемый факт</x:t>
  </x:si>
  <x:si>
    <x:t xml:space="preserve">Ближайшее объяснение</x:t>
  </x:si>
  <x:si>
    <x:t xml:space="preserve">Управленческое условие</x:t>
  </x:si>
  <x:si>
    <x:t xml:space="preserve">Возможное решение</x:t>
  </x:si>
  <x:si>
    <x:t xml:space="preserve">Альтернативное объяснение</x:t>
  </x:si>
  <x:si>
    <x:t xml:space="preserve">Проверка гипотез</x:t>
  </x:si>
  <x:si>
    <x:t xml:space="preserve">Порог использования — предложение команды: обоснуйте его допустимой долей команд, которым ещё нужна ручная помощь (например, 80% подходит лишь при предположении, что поддержка справится с оставшимися 20%), указав целевое действие, период и проверку этого предположения на пилоте.</x:t>
  </x:si>
  <x:si>
    <x:t xml:space="preserve">Критерии новой попытки</x:t>
  </x:si>
  <x:si>
    <x:t xml:space="preserve">Показатель и определение</x:t>
  </x:si>
  <x:si>
    <x:t xml:space="preserve">Исходное значение</x:t>
  </x:si>
  <x:si>
    <x:t xml:space="preserve">Цель</x:t>
  </x:si>
  <x:si>
    <x:t xml:space="preserve">Когда проверить</x:t>
  </x:si>
  <x:si>
    <x:t xml:space="preserve">Как и кто измеряет</x:t>
  </x:si>
  <x:si>
    <x:t xml:space="preserve">Первое решение</x:t>
  </x:si>
  <x:si>
    <x:t xml:space="preserve">Действие</x:t>
  </x:si>
  <x:si>
    <x:t xml:space="preserve">Основание</x:t>
  </x:si>
  <x:si>
    <x:t xml:space="preserve">Кто решает / что уточнить</x:t>
  </x:si>
  <x:si>
    <x:t xml:space="preserve">Ожидаемый эффект и проверка</x:t>
  </x:si>
  <x:si>
    <x:t xml:space="preserve">Участники</x:t>
  </x:si>
  <x:si>
    <x:t xml:space="preserve">Открытый вопрос</x:t>
  </x:si>
  <x:si>
    <x:t xml:space="preserve">Порядок выполнения и самопроверка</x:t>
  </x:si>
  <x:si>
    <x:t xml:space="preserve">1. Заполните четыре строки оценки предыдущей попытки: исполнение, качество, использование, эффект. В каждой укажите факт и его код,</x:t>
  </x:si>
  <x:si>
    <x:t xml:space="preserve">допустимый вывод и недостающие сведения.</x:t>
  </x:si>
  <x:si>
    <x:t xml:space="preserve">2. Выберите один наблюдаемый факт и постройте одну подробную цепочку: ближайшее объяснение, управленческое условие, решение, которое</x:t>
  </x:si>
  <x:si>
    <x:t xml:space="preserve">могло изменить ситуацию. Пометьте гипотезы. Назовите одну альтернативу и данные, которые позволят различить объяснения.</x:t>
  </x:si>
  <x:si>
    <x:t xml:space="preserve">3. Предложите четыре критерия для новой попытки, по одному на каждое измерение. В строке «Исполнение» можно совместно указать срок и</x:t>
  </x:si>
  <x:si>
    <x:t xml:space="preserve">бюджет. Для качества предложите проверяемое условие обязательного сценария; для использования определите целевое действие и охват; для</x:t>
  </x:si>
  <x:si>
    <x:t xml:space="preserve">эффекта выберите один показатель M01–M04 и объясните, какое улучшение он отражает, либо предложите обоснованное уточнение. Все четыре</x:t>
  </x:si>
  <x:si>
    <x:t xml:space="preserve">M-показателя заполнять не требуется. Укажите значение или «не измерено», порог, момент проверки, владельца и способ получения данных.</x:t>
  </x:si>
  <x:si>
    <x:t xml:space="preserve">4. Выберите первое действие, обоснуйте участника для подготовки решения и ожидаемое изменение; неизвестное право утверждения уточните.</x:t>
  </x:si>
  <x:si>
    <x:t xml:space="preserve">Не обещайте, что одно действие гарантированно устранит все причины.</x:t>
  </x:si>
  <x:si>
    <x:t xml:space="preserve">5. Укажите участников и один открытый вопрос в строках 42–43. Проверьте работу, сохраните версию и PDF диапазона A1:F43.</x:t>
  </x:si>
  <x:si>
    <x:t xml:space="preserve">□ Факты и наблюдения имеют источники; предполагаемая причина не выдана за доказанную.</x:t>
  </x:si>
  <x:si>
    <x:t xml:space="preserve">□ Наличие функций, использование и эффект различены. Значения новой попытки не объявлены итогами старой.</x:t>
  </x:si>
  <x:si>
    <x:t xml:space="preserve">□ Порог использования обоснован допустимой ручной помощью; предположение проверяется на пилоте. Неизвестное не заменено нулём.</x:t>
  </x:si>
  <x:si>
    <x:t xml:space="preserve">□ Для действия указаны участник, проверка результата и известное полномочие либо вопрос о праве утверждения.</x:t>
  </x:si>
  <x:si>
    <x:t xml:space="preserve">Переход: С01 создаёт основания для новой попытки. В С02 разберём, кто вправе принять предложенное действие. Старую работу можно</x:t>
  </x:si>
  <x:si>
    <x:t xml:space="preserve">использовать: сохраните подходящую цепочку, уточните источники и перенесите критерии. Повторять все четыре старые цепочки не</x:t>
  </x:si>
  <x:si>
    <x:t xml:space="preserve">требуется.</x:t>
  </x:si>
  <x:si>
    <x:t xml:space="preserve">Разобранный пример: U03 подтверждает наличие функций; E01 сообщает, что в протоколе нет испытания полного сценария. Допустимо</x:t>
  </x:si>
  <x:si>
    <x:t xml:space="preserve">предположить, что приёмка отдельных функций не выявила затруднение между передачей результата и обновлением статуса. Пока это</x:t>
  </x:si>
  <x:si>
    <x:t xml:space="preserve">гипотеза, поскольку сам сбой не наблюдался. Действие — согласовать с владельцем продукта полный сценарий и наблюдаемое испытание до</x:t>
  </x:si>
  <x:si>
    <x:t xml:space="preserve">допуска к пилоту. Альтернатива: сценарий работал, а данные не обновлялись из-за правил процесса; для различения нужны наблюдение</x:t>
  </x:si>
  <x:si>
    <x:t xml:space="preserve">сценария и история обновлений. Для собственной цепочки можно выбрать другое основание, например E02/E03.</x:t>
  </x:si>
  <x:si>
    <x:t xml:space="preserve">Источник задания: «Карточки С01–С13», редакция 8. Все сведения кейса — на листе «Кейс» и во вводной этого семинара.</x:t>
  </x:si>
  <x:si>
    <x:t xml:space="preserve">С02 · Права решений и обращение к уполномоченному участнику</x:t>
  </x:si>
  <x:si>
    <x:t xml:space="preserve">Отделить подготовку решения от окончательного полномочия и сформировать обоснованное обращение по спорному вопросу.</x:t>
  </x:si>
  <x:si>
    <x:t xml:space="preserve">Состояние: Для двух условных упражнений считайте, что проект уже авторизован куратором, а 1 декабря 2026 года утверждено базовой датой</x:t>
  </x:si>
  <x:si>
    <x:t xml:space="preserve">начала пилота. Это отдельное допущение для разбора полномочий; на С04 вы вернётесь к подготовке решения о запуске. Ситуации A/B не</x:t>
  </x:si>
  <x:si>
    <x:t xml:space="preserve">описывают фактически наступившие события общего сценария.</x:t>
  </x:si>
  <x:si>
    <x:t xml:space="preserve">Задание: Краткая карта шести прав и два подробных разбора. Отдельная большая матрица влияния и ещё шесть развёрнутых обращений не</x:t>
  </x:si>
  <x:si>
    <x:t xml:space="preserve">требуются.</x:t>
  </x:si>
  <x:si>
    <x:t xml:space="preserve">Описание UniFlow: участники, границы проекта, каталог P01–P06.</x:t>
  </x:si>
  <x:si>
    <x:t xml:space="preserve">Ситуация A: РП получил оценку команды, что заданный объём будет готов 15 декабря вместо 1 декабря. Он хочет сообщить заказчику новую дату.</x:t>
  </x:si>
  <x:si>
    <x:t xml:space="preserve">Величина и причина задержки для этого упражнения не вычисляются: нужно определить порядок решения и требуемые доказательства.</x:t>
  </x:si>
  <x:si>
    <x:t xml:space="preserve">Ситуация B: владелец продукта предлагает начать пилот с обязательными функциями, но результат проверки восстановления данных ещё не</x:t>
  </x:si>
  <x:si>
    <x:t xml:space="preserve">представлен. Нужно решить, чьего согласия достаточно и что необходимо получить до допуска.</x:t>
  </x:si>
  <x:si>
    <x:t xml:space="preserve">Кто принимает шесть решений</x:t>
  </x:si>
  <x:si>
    <x:t xml:space="preserve">Код и решение</x:t>
  </x:si>
  <x:si>
    <x:t xml:space="preserve">Кто готовит</x:t>
  </x:si>
  <x:si>
    <x:t xml:space="preserve">Чьё заключение требуется</x:t>
  </x:si>
  <x:si>
    <x:t xml:space="preserve">P01 Авторизация</x:t>
  </x:si>
  <x:si>
    <x:t xml:space="preserve">РП — обоснование целей, бюджета, сроков, ресурсов и рисков проекта.</x:t>
  </x:si>
  <x:si>
    <x:t xml:space="preserve">Заказчик — подтверждает потребность и ожидаемую ценность продукта.</x:t>
  </x:si>
  <x:si>
    <x:t xml:space="preserve">P02 Приоритет функций</x:t>
  </x:si>
  <x:si>
    <x:t xml:space="preserve">Владелец продукта — перечень функций и оценку их полезности для пользователей.</x:t>
  </x:si>
  <x:si>
    <x:t xml:space="preserve">РП и команда разработки — оценку трудоёмкости, сроков, ресурсов и технических зависимостей.</x:t>
  </x:si>
  <x:si>
    <x:t xml:space="preserve">P03 Базовая дата</x:t>
  </x:si>
  <x:si>
    <x:t xml:space="preserve">РП — календарный план, оценку сроков, ресурсов, зависимостей и рисков.</x:t>
  </x:si>
  <x:si>
    <x:t xml:space="preserve">Команда разработки — реалистичность сроков; владелец продукта — допустимость изменения объёма функций.</x:t>
  </x:si>
  <x:si>
    <x:t xml:space="preserve">P04 Допуск к пилоту</x:t>
  </x:si>
  <x:si>
    <x:t xml:space="preserve">РП — комплект результатов испытаний и подтверждений готовности системы.</x:t>
  </x:si>
  <x:si>
    <x:t xml:space="preserve">Владелец продукта — готовность обязательных функций; ИБ — заключение о допустимости рисков безопасности; техническая команда — результаты проверки восстановления данных.</x:t>
  </x:si>
  <x:si>
    <x:t xml:space="preserve">P05 Риск ИБ</x:t>
  </x:si>
  <x:si>
    <x:t xml:space="preserve">РП и техническая команда — описание рисков, результаты проверок и меры по устранению уязвимостей.</x:t>
  </x:si>
  <x:si>
    <x:t xml:space="preserve">Информационная безопасность</x:t>
  </x:si>
  <x:si>
    <x:t xml:space="preserve">Техническая команда — возможность реализации защитных мер; эксплуатация — влияние рисков и мер защиты на работу системы.</x:t>
  </x:si>
  <x:si>
    <x:t xml:space="preserve">P06 Приёмка результата</x:t>
  </x:si>
  <x:si>
    <x:t xml:space="preserve">РП — отчёт о выполненных требованиях, результаты испытаний и комплект приёмочной документации.</x:t>
  </x:si>
  <x:si>
    <x:t xml:space="preserve">Владелец продукта — соответствие требованиям; заказчик — соответствие ожидаемому результату; эксплуатация — готовность к сопровождению.</x:t>
  </x:si>
  <x:si>
    <x:t xml:space="preserve">Изменение даты</x:t>
  </x:si>
  <x:si>
    <x:t xml:space="preserve">Ответ</x:t>
  </x:si>
  <x:si>
    <x:t xml:space="preserve">Предмет решения</x:t>
  </x:si>
  <x:si>
    <x:t xml:space="preserve">Предмет решения - отвечает на конкретный вопрос по которому уполномоченное лицо должно сделать выбор (что утвердить, отменить, разрешить, изменить..)</x:t>
  </x:si>
  <x:si>
    <x:t xml:space="preserve">Адресат и полномочие</x:t>
  </x:si>
  <x:si>
    <x:t xml:space="preserve">Куратор — окончательно утверждает изменение базовой даты (P03). РП готовит обоснование, но не вправе самостоятельно менять утверждённый срок.</x:t>
  </x:si>
  <x:si>
    <x:t xml:space="preserve">Необходимые данные</x:t>
  </x:si>
  <x:si>
    <x:t xml:space="preserve">Утверждённый план на 1 декабря; фактическая готовность работ; прогноз команды на 15 декабря; причины задержки; перечень незавершённых задач; влияние переноса на бюджет, ресурсы, качество и запуск пилота.</x:t>
  </x:si>
  <x:si>
    <x:t xml:space="preserve">Два варианта</x:t>
  </x:si>
  <x:si>
    <x:t xml:space="preserve">1. Сохранить 1 декабря: согласовать с владельцем продукта перенос необязательных функций на следующий этап при условии готовности обязательных функций и выполнения требований качества и безопасности. 2. Перенести дату на 15 декабря: сохранить согласованный объём, представить обновлённый план и оценку последствий переноса.</x:t>
  </x:si>
  <x:si>
    <x:t xml:space="preserve">Что РП делает до ответа</x:t>
  </x:si>
  <x:si>
    <x:t xml:space="preserve">Проверяет прогноз команды, готовит два варианта с оценкой последствий, запрашивает позицию владельца продукта по изменению объёма и передаёт куратору запрос на изменение базовой даты. Заказчика информирует о риске задержки, не представляя 15 декабря как утверждённый срок.</x:t>
  </x:si>
  <x:si>
    <x:t xml:space="preserve">Срок ответа и основание</x:t>
  </x:si>
  <x:si>
    <x:t xml:space="preserve">Предлагаемое правило команды: куратор отвечает в течение двух рабочих дней после получения полного обоснования, но до утверждения нового плана и официального сообщения заказчику новой даты.</x:t>
  </x:si>
  <x:si>
    <x:t xml:space="preserve">Действие при отсутствии ответа</x:t>
  </x:si>
  <x:si>
    <x:t xml:space="preserve">Дата 1 декабря остаётся действующей. РП повторно обращается к куратору, фиксирует риск срыва срока и продолжает работы по действующему плану в пределах своих полномочий. Молчание куратора не считается согласием на перенос.</x:t>
  </x:si>
  <x:si>
    <x:t xml:space="preserve">Допуск к пилоту</x:t>
  </x:si>
  <x:si>
    <x:t xml:space="preserve">Можно ли допустить UniFlow к пилоту при готовности обязательных функций, но без подтверждённого результата проверки восстановления данных?</x:t>
  </x:si>
  <x:si>
    <x:t xml:space="preserve">Эксплуатация — окончательно решает вопрос о допуске к пилоту (P04). ИБ отдельно принимает решение о допустимости рисков информационной безопасности (P05). Владелец продукта подтверждает готовность функционального объёма (P02), но его согласия недостаточно для запуска.</x:t>
  </x:si>
  <x:si>
    <x:t xml:space="preserve">Необходимые доказательства</x:t>
  </x:si>
  <x:si>
    <x:t xml:space="preserve">Граница решения ИБ</x:t>
  </x:si>
  <x:si>
    <x:t xml:space="preserve">ИБ оценивает риски безопасности и принимает решение об их допустимости (P05). Эксплуатация решает вопрос о технической и организационной готовности к пилоту (P04). Положительное заключение ИБ не заменяет решения эксплуатации, а согласие владельца продукта не заменяет заключения ИБ.</x:t>
  </x:si>
  <x:si>
    <x:t xml:space="preserve">Рекомендация сейчас</x:t>
  </x:si>
  <x:si>
    <x:t xml:space="preserve">Не допускать систему к пилоту до получения результатов проверки восстановления данных. Продолжить подготовку пилота, завершить испытания и получить необходимые заключения.</x:t>
  </x:si>
  <x:si>
    <x:t xml:space="preserve">Предлагаемое правило команды: команда разработки предоставляет результаты проверки восстановления данных не позднее чем за два рабочих дня до планируемого пилота. ИБ и эксплуатация рассматривают полный комплект материалов до фактического запуска.</x:t>
  </x:si>
  <x:si>
    <x:t xml:space="preserve">Не начинать пилот без решения эксплуатации и необходимых заключений. РП фиксирует препятствие, организует завершение проверок и повторно направляет материалы на рассмотрение. Если возникает необходимость изменить утверждённую базовую дату, отдельно обращается к куратору (P03).</x:t>
  </x:si>
  <x:si>
    <x:t xml:space="preserve">1. Заполните краткую карту шести решений P01–P06: кто готовит, кто окончательно решает и какое заключение или согласование существенно.</x:t>
  </x:si>
  <x:si>
    <x:t xml:space="preserve">Само право из каталога не нужно изобретать.</x:t>
  </x:si>
  <x:si>
    <x:t xml:space="preserve">2. Разберите ситуацию A. Сформулируйте предмет решения, два возможных варианта, владельца полномочия и сведения для выбора. Покажите, что</x:t>
  </x:si>
  <x:si>
    <x:t xml:space="preserve">РП может сделать до ответа, не меняя базовую дату самовольно.</x:t>
  </x:si>
  <x:si>
    <x:t xml:space="preserve">3. Разберите ситуацию B. Отделите полезность функций, готовность эксплуатации и принятие риска ИБ. Укажите, что можно рекомендовать сейчас</x:t>
  </x:si>
  <x:si>
    <x:t xml:space="preserve">и чего не хватает для окончательного допуска.</x:t>
  </x:si>
  <x:si>
    <x:t xml:space="preserve">4. Для каждого обращения укажите адресата, необходимые материалы, срок ответа относительно нужного события и действие при отсутствии</x:t>
  </x:si>
  <x:si>
    <x:t xml:space="preserve">ответа. Предложенный срок обозначайте как правило команды, если он не задан.</x:t>
  </x:si>
  <x:si>
    <x:t xml:space="preserve">5. Сопоставьте решение с правами P01–P06 и предыдущей работой С01. Устраните ответственность без полномочия и решения без достаточных</x:t>
  </x:si>
  <x:si>
    <x:t xml:space="preserve">оснований.</x:t>
  </x:si>
  <x:si>
    <x:t xml:space="preserve">□ Окончательно решающий соответствует каталогу; РП и владелец продукта не присваивают чужие полномочия.</x:t>
  </x:si>
  <x:si>
    <x:t xml:space="preserve">□ Вопрос разделён на самостоятельные решения, если требуются разные владельцы.</x:t>
  </x:si>
  <x:si>
    <x:t xml:space="preserve">□ Материалы обращения позволяют принять решение; срок ответа связан с событием.</x:t>
  </x:si>
  <x:si>
    <x:t xml:space="preserve">□ Отсутствие ответа не считается согласием; сохранён выполнимый следующий шаг.</x:t>
  </x:si>
  <x:si>
    <x:t xml:space="preserve">Переход: Используйте права решений при выборе подхода С03 и авторизации С04. Для двух ситуаций допустимы разные обоснованные варианты, но</x:t>
  </x:si>
  <x:si>
    <x:t xml:space="preserve">базовая дата, допуск и принятие риска не становятся одним общим разрешением.</x:t>
  </x:si>
  <x:si>
    <x:t xml:space="preserve">Предыдущее решение команды →</x:t>
  </x:si>
  <x:si>
    <x:t xml:space="preserve">Используйте прежнее решение как основание. Новая общая вводная не является автоматически последствием вашей рекомендации.</x:t>
  </x:si>
  <x:si>
    <x:t xml:space="preserve">С03 · Как организовать работу четырёх контуров UniFlow</x:t>
  </x:si>
  <x:si>
    <x:t xml:space="preserve">Обосновать правила планирования и проверки для разных частей одного проекта.</x:t>
  </x:si>
  <x:si>
    <x:t xml:space="preserve">Состояние: Начало нового проекта, до разработки. Используйте описание новой попытки, решения С02 и вводную D03. Дата пилота 1 декабря</x:t>
  </x:si>
  <x:si>
    <x:t xml:space="preserve">— ограничение всего проекта; сама по себе она не определяет способ разработки.</x:t>
  </x:si>
  <x:si>
    <x:t xml:space="preserve">Задание: Четыре осмысленные строки, две связи между контурами и один защищённый выбор. Дополнительная полная анкета факторов не</x:t>
  </x:si>
  <x:si>
    <x:t xml:space="preserve">Шесть факторов: изменчивость требований; цена позднего изменения; доступность и ритм обратной связи; внешние зависимости; компетенции</x:t>
  </x:si>
  <x:si>
    <x:t xml:space="preserve">команды; обязательства и обязательные проверки.</x:t>
  </x:si>
  <x:si>
    <x:t xml:space="preserve">D03 содержит сведения об инфраструктуре, интерфейсе, интеграциях и безопасности. Неизвестное допускается обозначить как неизвестное,</x:t>
  </x:si>
  <x:si>
    <x:t xml:space="preserve">но нужно назвать проверку, которая повлияет на выбор.</x:t>
  </x:si>
  <x:si>
    <x:t xml:space="preserve">Режимы: заранее согласованный план; короткие циклы с пересмотром; сочетание этих правил. Название Scrum не заменяет описание правил.</x:t>
  </x:si>
  <x:si>
    <x:t xml:space="preserve">Выбор подхода</x:t>
  </x:si>
  <x:si>
    <x:t xml:space="preserve">Контур</x:t>
  </x:si>
  <x:si>
    <x:t xml:space="preserve">Два фактора и факты</x:t>
  </x:si>
  <x:si>
    <x:t xml:space="preserve">Режим и горизонт</x:t>
  </x:si>
  <x:si>
    <x:t xml:space="preserve">Обратная связь</x:t>
  </x:si>
  <x:si>
    <x:t xml:space="preserve">Синхронизация</x:t>
  </x:si>
  <x:si>
    <x:t xml:space="preserve">Триггер пересмотра</x:t>
  </x:si>
  <x:si>
    <x:t xml:space="preserve">Инфраструктура</x:t>
  </x:si>
  <x:si>
    <x:t xml:space="preserve">Интерфейс</x:t>
  </x:si>
  <x:si>
    <x:t xml:space="preserve">Интеграции</x:t>
  </x:si>
  <x:si>
    <x:t xml:space="preserve">Безопасность</x:t>
  </x:si>
  <x:si>
    <x:t xml:space="preserve">Связи и защита</x:t>
  </x:si>
  <x:si>
    <x:t xml:space="preserve">Зависимость или спорный выбор</x:t>
  </x:si>
  <x:si>
    <x:t xml:space="preserve">Последствие</x:t>
  </x:si>
  <x:si>
    <x:t xml:space="preserve">Правило или мера защиты</x:t>
  </x:si>
  <x:si>
    <x:t xml:space="preserve">Связь 1</x:t>
  </x:si>
  <x:si>
    <x:t xml:space="preserve">Связь 2</x:t>
  </x:si>
  <x:si>
    <x:t xml:space="preserve">Спорный выбор</x:t>
  </x:si>
  <x:si>
    <x:t xml:space="preserve">1. Прочитайте D03. Для каждого контура выберите два фактора, наиболее влияющих на способ работы; кратко объясните их действие.</x:t>
  </x:si>
  <x:si>
    <x:t xml:space="preserve">2. Заполните четыре строки: контур → факты → режим → обратная связь → общая точка синхронизации → условие пересмотра. Не нужно</x:t>
  </x:si>
  <x:si>
    <x:t xml:space="preserve">проставлять баллы по всем 24 сочетаниям.</x:t>
  </x:si>
  <x:si>
    <x:t xml:space="preserve">3. Покажите две зависимости между контурами. Объясните, что произойдёт, если проверка одного контура не пройдена.</x:t>
  </x:si>
  <x:si>
    <x:t xml:space="preserve">4. Защитите один спорный выбор: допустимая альтернатива, риск вашего выбора и мера защиты.</x:t>
  </x:si>
  <x:si>
    <x:t xml:space="preserve">□ Режим выведен из фактов; фиксированная дата не использована как единственное основание.</x:t>
  </x:si>
  <x:si>
    <x:t xml:space="preserve">□ Проверка имеет предмет и участника; календарная встреча без результата недостаточна.</x:t>
  </x:si>
  <x:si>
    <x:t xml:space="preserve">□ При отрицательной обратной связи понятно, что можно изменить и кто решает.</x:t>
  </x:si>
  <x:si>
    <x:t xml:space="preserve">□ Разные режимы связаны общими проверками, а не четырьмя независимыми планами.</x:t>
  </x:si>
  <x:si>
    <x:t xml:space="preserve">Переход: В С04 используйте выбранный способ управления как часть обоснования. Он остаётся рекомендацией команды, а не единственно</x:t>
  </x:si>
  <x:si>
    <x:t xml:space="preserve">верным ответом автора.</x:t>
  </x:si>
  <x:si>
    <x:t xml:space="preserve">Выданные сведения · читать перед решением</x:t>
  </x:si>
  <x:si>
    <x:t xml:space="preserve">D03 · Контекст выбора подхода</x:t>
  </x:si>
  <x:si>
    <x:t xml:space="preserve">Ранняя фаза новой попытки.</x:t>
  </x:si>
  <x:si>
    <x:t xml:space="preserve">Сведения ниже — условия учебного решения. Для неизвестного выберите рабочее допущение и проверку, а не остановку заполнения.</x:t>
  </x:si>
  <x:si>
    <x:t xml:space="preserve">Обязательная SSO-интеграция — вход через вузовскую учётную запись. Дополнительный автоматический обмен с внешним реестром учебных</x:t>
  </x:si>
  <x:si>
    <x:t xml:space="preserve">проектов — отдельный объект.</x:t>
  </x:si>
  <x:si>
    <x:t xml:space="preserve">Согласованная дата ограничивает все контуры. Режим работы должен также учитывать устойчивость решения и стоимость обратной связи.</x:t>
  </x:si>
  <x:si>
    <x:t xml:space="preserve">Четыре контура</x:t>
  </x:si>
  <x:si>
    <x:t xml:space="preserve">Известные условия</x:t>
  </x:si>
  <x:si>
    <x:t xml:space="preserve">Что ещё требуется выяснить</x:t>
  </x:si>
  <x:si>
    <x:t xml:space="preserve">Хостинг и базовые ограничения доступа определены; поздний перенос среды потребует повторной настройки и проверки. Инженер эксплуатации может участвовать в еженедельной проверке.</x:t>
  </x:si>
  <x:si>
    <x:t xml:space="preserve">Достаточность типовой конфигурации под нагрузку и восстановление.</x:t>
  </x:si>
  <x:si>
    <x:t xml:space="preserve">Точный порядок действий пользователя не проверен. Представители команд и руководителей готовы смотреть короткий прототип раз в неделю. Команда умеет быстро изменять веб-интерфейс.</x:t>
  </x:si>
  <x:si>
    <x:t xml:space="preserve">Какие шаги пользователи выполняют без помощи; какие поля им нужны.</x:t>
  </x:si>
  <x:si>
    <x:t xml:space="preserve">Согласован интерфейс SSO; у команды ограничен опыт работы с ним. Совместная проверка с внешней интеграционной командой возможна раз в 14 календарных дней. Дополнительный обмен имеет отдельный контракт данных.</x:t>
  </x:si>
  <x:si>
    <x:t xml:space="preserve">Положительные и отрицательные сценарии SSO; готовность внешнего обмена.</x:t>
  </x:si>
  <x:si>
    <x:t xml:space="preserve">Права ролей и обязательность контроля заранее определены. Конкретные ошибки реализации заранее неизвестны. Полный первоначальный цикл проверки закладывается как 10 рабочих дней. ИБ может рассматривать изменения правил доступа раньше итогового цикла.</x:t>
  </x:si>
  <x:si>
    <x:t xml:space="preserve">Применимые проверки, сроки промежуточных консультаций и состав доказательств.</x:t>
  </x:si>
  <x:si>
    <x:t xml:space="preserve">С04 · Обоснование и разрешение начать UniFlow</x:t>
  </x:si>
  <x:si>
    <x:t xml:space="preserve">Отделить обоснование выбора от полномочий, которыми разрешён конкретный проект.</x:t>
  </x:si>
  <x:si>
    <x:t xml:space="preserve">Состояние: Рекомендация перед авторизацией новой попытки. Для дальнейших общих упражнений принято учебное решение: 1 октября куратор</x:t>
  </x:si>
  <x:si>
    <x:t xml:space="preserve">авторизовал UniFlow с бюджетом 4,8 млн ₽ и пилотом 1 декабря. Вы вправе рекомендовать другой вариант; будущие общие вводные не</x:t>
  </x:si>
  <x:si>
    <x:t xml:space="preserve">становятся последствиями вашей рекомендации.</x:t>
  </x:si>
  <x:si>
    <x:t xml:space="preserve">Задание: Таблица четырёх вариантов и устав на одной–двух читаемых страницах. Ограничение «не более 120 слов» снято; отдельные большие</x:t>
  </x:si>
  <x:si>
    <x:t xml:space="preserve">журналы ради формы не требуются.</x:t>
  </x:si>
  <x:si>
    <x:t xml:space="preserve">Описание новой попытки и краткий паспорт: 2 направления, 500 студентов, 60 руководителей, 6 администраторов; четыре функции и</x:t>
  </x:si>
  <x:si>
    <x:t xml:space="preserve">исключения.</x:t>
  </x:si>
  <x:si>
    <x:t xml:space="preserve">D04: четыре альтернативы с известными ограничениями и неизвестной полной стоимостью. Числа закупочного примера С08 относятся к</x:t>
  </x:si>
  <x:si>
    <x:t xml:space="preserve">отдельному модулю, их нельзя применять к стоимости всего UniFlow.</x:t>
  </x:si>
  <x:si>
    <x:t xml:space="preserve">Работы С01–С03: различение успеха, полномочия и подход. Точные определения показателей берите из общего словаря кейса.</x:t>
  </x:si>
  <x:si>
    <x:t xml:space="preserve">Альтернативы</x:t>
  </x:si>
  <x:si>
    <x:t xml:space="preserve">Вариант</x:t>
  </x:si>
  <x:si>
    <x:t xml:space="preserve">Покрытие проблемы</x:t>
  </x:si>
  <x:si>
    <x:t xml:space="preserve">Срок и реализуемость</x:t>
  </x:si>
  <x:si>
    <x:t xml:space="preserve">Стоимость: известно / требуется</x:t>
  </x:si>
  <x:si>
    <x:t xml:space="preserve">Зависимость и риск</x:t>
  </x:si>
  <x:si>
    <x:t xml:space="preserve">Вывод</x:t>
  </x:si>
  <x:si>
    <x:t xml:space="preserve">Ничего не менять</x:t>
  </x:si>
  <x:si>
    <x:t xml:space="preserve">Изменить процесс</x:t>
  </x:si>
  <x:si>
    <x:t xml:space="preserve">Купить</x:t>
  </x:si>
  <x:si>
    <x:t xml:space="preserve">Создать</x:t>
  </x:si>
  <x:si>
    <x:t xml:space="preserve">Устав</x:t>
  </x:si>
  <x:si>
    <x:t xml:space="preserve">Согласованное содержание / ссылка на решение</x:t>
  </x:si>
  <x:si>
    <x:t xml:space="preserve">Цель и критерии эффекта</x:t>
  </x:si>
  <x:si>
    <x:t xml:space="preserve">Результат</x:t>
  </x:si>
  <x:si>
    <x:t xml:space="preserve">Границы и исключения</x:t>
  </x:si>
  <x:si>
    <x:t xml:space="preserve">Бюджет и дата</x:t>
  </x:si>
  <x:si>
    <x:t xml:space="preserve">Две промежуточные вехи</x:t>
  </x:si>
  <x:si>
    <x:t xml:space="preserve">Критерии допуска</x:t>
  </x:si>
  <x:si>
    <x:t xml:space="preserve">Полномочия P01–P06 / ссылка</x:t>
  </x:si>
  <x:si>
    <x:t xml:space="preserve">Главные допущения и проверка</x:t>
  </x:si>
  <x:si>
    <x:t xml:space="preserve">Решение и допущения</x:t>
  </x:si>
  <x:si>
    <x:t xml:space="preserve">Рекомендация или допущение</x:t>
  </x:si>
  <x:si>
    <x:t xml:space="preserve">Владелец</x:t>
  </x:si>
  <x:si>
    <x:t xml:space="preserve">Срок проверки</x:t>
  </x:si>
  <x:si>
    <x:t xml:space="preserve">1. Сформулируйте одну наблюдаемую проблему текущего процесса. Отделите измеренный факт, желаемое изменение и предполагаемую причину.</x:t>
  </x:si>
  <x:si>
    <x:t xml:space="preserve">2. Сравните четыре альтернативы по одинаковым основаниям: покрытие проблемы, реализуемость к пилоту, расходы и зависимость от внешних</x:t>
  </x:si>
  <x:si>
    <x:t xml:space="preserve">сторон. Неизвестную стоимость обозначьте как неизвестную и назовите данные для оценки.</x:t>
  </x:si>
  <x:si>
    <x:t xml:space="preserve">3. Подготовьте рекомендацию: вариант, существенное допущение, проверка до авторизации. Можно рекомендовать условный запуск или возврат</x:t>
  </x:si>
  <x:si>
    <x:t xml:space="preserve">на доработку.</x:t>
  </x:si>
  <x:si>
    <x:t xml:space="preserve">4. Заполните устав: цель; результат; границы и исключения; бюджет и дата; две промежуточные вехи с доказательствами; критерии успеха;</x:t>
  </x:si>
  <x:si>
    <x:t xml:space="preserve">права шести решений из С02.</x:t>
  </x:si>
  <x:si>
    <x:t xml:space="preserve">5. Проверьте, что выбранные границы, подход, вехи и полномочия не противоречат друг другу. Не переписывайте уже заполненные разделы</x:t>
  </x:si>
  <x:si>
    <x:t xml:space="preserve">С02–С03: укажите их имена и измените только необходимое.</x:t>
  </x:si>
  <x:si>
    <x:t xml:space="preserve">□ Проблема не подменена названием системы.</x:t>
  </x:si>
  <x:si>
    <x:t xml:space="preserve">□ Альтернативы сопоставлены по общим основаниям; пробелы данных не скрыты выдуманными оценками.</x:t>
  </x:si>
  <x:si>
    <x:t xml:space="preserve">□ Устав разрешает определённую работу в определённых границах.</x:t>
  </x:si>
  <x:si>
    <x:t xml:space="preserve">□ Критерии проверяемы, а полномочия согласованы с С02.</x:t>
  </x:si>
  <x:si>
    <x:t xml:space="preserve">Переход: Это комплект КТ-1: вывод С01, решения С02, подход С03, обоснование и устав С04. Один и тот же текст не требуется дублировать</x:t>
  </x:si>
  <x:si>
    <x:t xml:space="preserve">на нескольких листах.</x:t>
  </x:si>
  <x:si>
    <x:t xml:space="preserve">D04 · Вводная для сравнения четырёх альтернатив</x:t>
  </x:si>
  <x:si>
    <x:t xml:space="preserve">Рекомендация перед авторизацией.</x:t>
  </x:si>
  <x:si>
    <x:t xml:space="preserve">До выбора не известна полная стоимость каждого варианта. 4,8 млн ₽ — потолок финансирования предлагаемой новой попытки, а не четыре</x:t>
  </x:si>
  <x:si>
    <x:t xml:space="preserve">готовые оценки.</x:t>
  </x:si>
  <x:si>
    <x:t xml:space="preserve">Исходные измерения текущего процесса и цели берутся из общего описания и словаря кейса. Не используйте данные прошлого портала как</x:t>
  </x:si>
  <x:si>
    <x:t xml:space="preserve">исходный замер нового проекта.</x:t>
  </x:si>
  <x:si>
    <x:t xml:space="preserve">Четыре строки ниже задают различия вариантов. Дополнительные предположения допускаются, если команда указывает, как проверить их до</x:t>
  </x:si>
  <x:si>
    <x:t xml:space="preserve">решения.</x:t>
  </x:si>
  <x:si>
    <x:t xml:space="preserve">Варианты</x:t>
  </x:si>
  <x:si>
    <x:t xml:space="preserve">Что меняется</x:t>
  </x:si>
  <x:si>
    <x:t xml:space="preserve">Что не подтверждено</x:t>
  </x:si>
  <x:si>
    <x:t xml:space="preserve">Сохраняются действующие инструменты и способы взаимодействия; целенаправленное изменение процесса не проводится.</x:t>
  </x:si>
  <x:si>
    <x:t xml:space="preserve">Нельзя утверждать, что метрики непременно останутся прежними; требуется объяснить цену сохранения известных проблем.</x:t>
  </x:si>
  <x:si>
    <x:t xml:space="preserve">Изменить процесс без разработки</x:t>
  </x:si>
  <x:si>
    <x:t xml:space="preserve">Единые правила статусов и обратной связи, назначенные ответственные, согласованный формат ручной сводки в доступных инструментах.</x:t>
  </x:si>
  <x:si>
    <x:t xml:space="preserve">Величина эффекта и трудозатраты сопровождения нового регламента.</x:t>
  </x:si>
  <x:si>
    <x:t xml:space="preserve">Купить решение</x:t>
  </x:si>
  <x:si>
    <x:t xml:space="preserve">Кандидат должен обеспечить согласованные пользовательские сценарии, ролевой доступ, SSO и перенос необходимых данных.</x:t>
  </x:si>
  <x:si>
    <x:t xml:space="preserve">Готового коммерческого предложения, проверки соответствия и полной цены владения пока нет.</x:t>
  </x:si>
  <x:si>
    <x:t xml:space="preserve">Создать решение</x:t>
  </x:si>
  <x:si>
    <x:t xml:space="preserve">Разработать согласованный веб-сервис UniFlow с обязательными функциями и передачей в эксплуатацию.</x:t>
  </x:si>
  <x:si>
    <x:t xml:space="preserve">Оценка работ и подтверждение пользовательских сценариев ещё требуют проверки.</x:t>
  </x:si>
  <x:si>
    <x:t xml:space="preserve">С05 · От потребности к работе и доказательству</x:t>
  </x:si>
  <x:si>
    <x:t xml:space="preserve">Проверить, что работа создаёт нужное свойство, а критерий действительно проверяет исходную потребность.</x:t>
  </x:si>
  <x:si>
    <x:t xml:space="preserve">Состояние: Новая попытка после авторизации. Подробная модель содержания — рекомендация команды; четыре общих требования D05 нужны для</x:t>
  </x:si>
  <x:si>
    <x:t xml:space="preserve">сопоставимого упражнения.</x:t>
  </x:si>
  <x:si>
    <x:t xml:space="preserve">Задание: Четыре проверенные связи и модель содержания с одной детализацией. Второй полный backlog наряду с ИСР не требуется.</x:t>
  </x:si>
  <x:si>
    <x:t xml:space="preserve">Четыре исходные фразы: быстрая регистрация; своевременная обратная связь; актуальная панель; безопасный и удобный доступ.</x:t>
  </x:si>
  <x:si>
    <x:t xml:space="preserve">D05 содержит ответы владельца продукта, предложенные критерии и условия проверки. Число 500 — объём учётных записей, а не число</x:t>
  </x:si>
  <x:si>
    <x:t xml:space="preserve">одновременных пользователей.</x:t>
  </x:si>
  <x:si>
    <x:t xml:space="preserve">Границы устава С04. Дополнительный внешний обмен и SSO — разные объекты; не называйте их одним требованием «интеграция».</x:t>
  </x:si>
  <x:si>
    <x:t xml:space="preserve">Проверка требований</x:t>
  </x:si>
  <x:si>
    <x:t xml:space="preserve">Исходная фраза</x:t>
  </x:si>
  <x:si>
    <x:t xml:space="preserve">Пробел</x:t>
  </x:si>
  <x:si>
    <x:t xml:space="preserve">Уточнение / оставшийся вопрос</x:t>
  </x:si>
  <x:si>
    <x:t xml:space="preserve">Регистрация</x:t>
  </x:si>
  <x:si>
    <x:t xml:space="preserve">Панель</x:t>
  </x:si>
  <x:si>
    <x:t xml:space="preserve">Доступ</x:t>
  </x:si>
  <x:si>
    <x:t xml:space="preserve">Модель содержания</x:t>
  </x:si>
  <x:si>
    <x:t xml:space="preserve">ID</x:t>
  </x:si>
  <x:si>
    <x:t xml:space="preserve">Результат / пакет работ</x:t>
  </x:si>
  <x:si>
    <x:t xml:space="preserve">Граница</x:t>
  </x:si>
  <x:si>
    <x:t xml:space="preserve">Критерий завершения</x:t>
  </x:si>
  <x:si>
    <x:t xml:space="preserve">Трассировка</x:t>
  </x:si>
  <x:si>
    <x:t xml:space="preserve">Потребность</x:t>
  </x:si>
  <x:si>
    <x:t xml:space="preserve">Проверяемое требование</x:t>
  </x:si>
  <x:si>
    <x:t xml:space="preserve">Работа</x:t>
  </x:si>
  <x:si>
    <x:t xml:space="preserve">Проверка и доказательство</x:t>
  </x:si>
  <x:si>
    <x:t xml:space="preserve">REQ-REG</x:t>
  </x:si>
  <x:si>
    <x:t xml:space="preserve">REQ-FBK</x:t>
  </x:si>
  <x:si>
    <x:t xml:space="preserve">REQ-DASH</x:t>
  </x:si>
  <x:si>
    <x:t xml:space="preserve">REQ-ACC</x:t>
  </x:si>
  <x:si>
    <x:t xml:space="preserve">Граница изменения</x:t>
  </x:si>
  <x:si>
    <x:t xml:space="preserve">Просьба</x:t>
  </x:si>
  <x:si>
    <x:t xml:space="preserve">Уточнение / изменение</x:t>
  </x:si>
  <x:si>
    <x:t xml:space="preserve">Основание и уполномоченный</x:t>
  </x:si>
  <x:si>
    <x:t xml:space="preserve">Допустимое уточнение</x:t>
  </x:si>
  <x:si>
    <x:t xml:space="preserve">Изменение основы</x:t>
  </x:si>
  <x:si>
    <x:t xml:space="preserve">1. Для каждой исходной фразы назовите один существенный пробел и покажите, как ответ D05 его устраняет либо какой вопрос остался.</x:t>
  </x:si>
  <x:si>
    <x:t xml:space="preserve">2. Соберите ИСР верхнего уровня для согласованного проекта; достаточно 5–7 результатов. Детализируйте один результат до управляемых</x:t>
  </x:si>
  <x:si>
    <x:t xml:space="preserve">пакетов работ. Все согласованные результаты должны иметь место; количество нижних элементов не нормируется.</x:t>
  </x:si>
  <x:si>
    <x:t xml:space="preserve">3. Для четырёх потребностей заполните связь: требование / критерий → работа → доказательство. Проверьте не только пустые клетки, но и</x:t>
  </x:si>
  <x:si>
    <x:t xml:space="preserve">смысл соответствия.</x:t>
  </x:si>
  <x:si>
    <x:t xml:space="preserve">4. Отметьте одну просьбу, которая укладывается в уточнение, и одну, которая меняет границы. Объясните, к кому пойдёт решение.</x:t>
  </x:si>
  <x:si>
    <x:t xml:space="preserve">□ Порог отвечает именно исходной потребности: сохранность данных не доказывает своевременность.</x:t>
  </x:si>
  <x:si>
    <x:t xml:space="preserve">□ Проверка называет условия и наблюдаемое свидетельство.</x:t>
  </x:si>
  <x:si>
    <x:t xml:space="preserve">□ В модели нет повторного учёта; нужная управленческая, проверочная и эксплуатационная работа не потеряна.</x:t>
  </x:si>
  <x:si>
    <x:t xml:space="preserve">□ Дополнительная функция не добавлена молча.</x:t>
  </x:si>
  <x:si>
    <x:t xml:space="preserve">Переход: С06 использует общую учебную сеть A–D для расчётов, а не автоматически превращает разные ИСР команд в одинаковое расписание. Своя</x:t>
  </x:si>
  <x:si>
    <x:t xml:space="preserve">ИСР сохраняется.</x:t>
  </x:si>
  <x:si>
    <x:t xml:space="preserve">D05 · Уточнения требований и условия приёмки</x:t>
  </x:si>
  <x:si>
    <x:t xml:space="preserve">Общие учебные ответы владельца продукта для С05; они заменяют неверные пары в прежней матрице.</x:t>
  </x:si>
  <x:si>
    <x:t xml:space="preserve">Имеющиеся числа 3 минуты и 500 студентов сохранены. Остальные уточнения ниже добавлены автором для проверяемого упражнения.</x:t>
  </x:si>
  <x:si>
    <x:t xml:space="preserve">Срок подготовки ответа руководителем и задержка доставки уже отправленного ответа — разные величины. Программа не может сама</x:t>
  </x:si>
  <x:si>
    <x:t xml:space="preserve">гарантировать, что человек ответит вовремя.</x:t>
  </x:si>
  <x:si>
    <x:t xml:space="preserve">Под сохранностью статуса понимается отсутствие потери подтверждённого изменения; это отдельное свойство надёжности/целостности, оно не</x:t>
  </x:si>
  <x:si>
    <x:t xml:space="preserve">заменяет актуальность панели.</x:t>
  </x:si>
  <x:si>
    <x:t xml:space="preserve">Уточнённые связи</x:t>
  </x:si>
  <x:si>
    <x:t xml:space="preserve">ID / потребность</x:t>
  </x:si>
  <x:si>
    <x:t xml:space="preserve">Требование и критерий</x:t>
  </x:si>
  <x:si>
    <x:t xml:space="preserve">Условия / доказательство</x:t>
  </x:si>
  <x:si>
    <x:t xml:space="preserve">Пример работы</x:t>
  </x:si>
  <x:si>
    <x:t xml:space="preserve">REQ-REG / быстрая регистрация</x:t>
  </x:si>
  <x:si>
    <x:t xml:space="preserve">Не менее 9 из 10 представителей команд впервые создают корректную карточку команды без помощи за 3 минуты или меньше.</x:t>
  </x:si>
  <x:si>
    <x:t xml:space="preserve">Тестовые учётные записи с готовыми вузовскими идентификаторами; одинаковое задание; время от открытия формы до подтверждения; журнал ошибок.</x:t>
  </x:si>
  <x:si>
    <x:t xml:space="preserve">Форма и проверка состава команды; пользовательская проверка и исправление выявленных препятствий.</x:t>
  </x:si>
  <x:si>
    <x:t xml:space="preserve">REQ-FBK / своевременная обратная связь</x:t>
  </x:si>
  <x:si>
    <x:t xml:space="preserve">Уже отправленный руководителем отзыв доступен команде не позднее чем через 1 минуту. Учебное правило подготовки отзыва — 2 рабочих дня после контрольной точки; просрочка подготовки отслеживается отдельно.</x:t>
  </x:si>
  <x:si>
    <x:t xml:space="preserve">Сценарий «руководитель отправил → команда видит» с синхронными часами; отдельно журнал сроков ответов руководителей.</x:t>
  </x:si>
  <x:si>
    <x:t xml:space="preserve">Определите работу самостоятельно и проверьте её связь с выданным критерием.</x:t>
  </x:si>
  <x:si>
    <x:t xml:space="preserve">REQ-DASH / актуальная сводка</x:t>
  </x:si>
  <x:si>
    <x:t xml:space="preserve">Подтверждённое изменение статуса появляется в панели координатора не позднее 5 минут. В сводку входят все записи из набора на 500 студентов согласно правам доступа.</x:t>
  </x:si>
  <x:si>
    <x:t xml:space="preserve">Изменить заданные статусы, зафиксировать время и сравнить сводку с исходным набором; 500 записей не означают 500 одновременных запросов.</x:t>
  </x:si>
  <x:si>
    <x:t xml:space="preserve">REQ-ACC / безопасный и удобный доступ</x:t>
  </x:si>
  <x:si>
    <x:t xml:space="preserve">Вход через SSO; разрешены только операции из согласованной матрицы ролей. Попытка команды читать или менять закрытые данные другой команды отклоняется.</x:t>
  </x:si>
  <x:si>
    <x:t xml:space="preserve">Набор тестовых аккаунтов по ролям; положительные и отрицательные сценарии; журналы результата без настоящих персональных данных.</x:t>
  </x:si>
  <x:si>
    <x:t xml:space="preserve">Дополнительные общие критерии для качества</x:t>
  </x:si>
  <x:si>
    <x:t xml:space="preserve">Критерий</x:t>
  </x:si>
  <x:si>
    <x:t xml:space="preserve">PERF-01</x:t>
  </x:si>
  <x:si>
    <x:t xml:space="preserve">95-й процентиль ответа панели не более 2 секунд при 50 одновременных виртуальных пользователях и 500 студенческих записях на согласованном тестовом стенде.</x:t>
  </x:si>
  <x:si>
    <x:t xml:space="preserve">Учебный порог производительности для С09; размер данных и конкурентная нагрузка заданы отдельно.</x:t>
  </x:si>
  <x:si>
    <x:t xml:space="preserve">REL-01</x:t>
  </x:si>
  <x:si>
    <x:t xml:space="preserve">Восстановление согласованного тестового набора из резервной копии занимает не более 60 минут; подтверждённые данные не теряются при проверенных сценариях обновления.</x:t>
  </x:si>
  <x:si>
    <x:t xml:space="preserve">Учебный порог восстановления; состав и допустимая точка копии указываются в протоколе.</x:t>
  </x:si>
  <x:si>
    <x:t xml:space="preserve">С06 · Сеть, ресурсы и прогноз</x:t>
  </x:si>
  <x:si>
    <x:t xml:space="preserve">Вычислить дату по связям и объяснить, почему ресурсное решение меняет эту дату.</x:t>
  </x:si>
  <x:si>
    <x:t xml:space="preserve">Состояние: Отдельная расчётная модель A–D на UniFlow. Дни от 0 — рабочее время модели, не календарь всего</x:t>
  </x:si>
  <x:si>
    <x:t xml:space="preserve">проекта. Три сценария ниже независимы и сохраняются отдельно.</x:t>
  </x:si>
  <x:si>
    <x:t xml:space="preserve">Задание: На листе С06_Расписание: проверенная логическая сеть, сравнение ресурсных вариантов, отдельный</x:t>
  </x:si>
  <x:si>
    <x:t xml:space="preserve">прогноз при изменении C и рекомендация до 100 слов. Обязательная сдача — один читаемый PDF с этими</x:t>
  </x:si>
  <x:si>
    <x:t xml:space="preserve">результатами через московскую F01. Книга XLSX или собственный .pod прилагается как необязательный</x:t>
  </x:si>
  <x:si>
    <x:t xml:space="preserve">исходник.</x:t>
  </x:si>
  <x:si>
    <x:t xml:space="preserve">D06: A=3; B=5 после A; C=8 после A; D=10 после B и C; связи окончание–начало без лагов. Длительности</x:t>
  </x:si>
  <x:si>
    <x:t xml:space="preserve">заданы; PERT в обязательный минимум не входит.</x:t>
  </x:si>
  <x:si>
    <x:t xml:space="preserve">Первый сценарий — только логическая сеть без ограничения общей занятости; второй — один инженер на B и C;</x:t>
  </x:si>
  <x:si>
    <x:t xml:space="preserve">третий — независимая проверка изменения C при доступных разных ресурсах.</x:t>
  </x:si>
  <x:si>
    <x:t xml:space="preserve">Основной рабочий инструмент — лист С06_Расписание. Все длительности, зависимости и расчёты находятся в</x:t>
  </x:si>
  <x:si>
    <x:t xml:space="preserve">книге. Дополнительно можно воспроизвести сеть в ProjectLibre.</x:t>
  </x:si>
  <x:si>
    <x:t xml:space="preserve">Логическая сеть</x:t>
  </x:si>
  <x:si>
    <x:t xml:space="preserve">Длительность</x:t>
  </x:si>
  <x:si>
    <x:t xml:space="preserve">Предшественники</x:t>
  </x:si>
  <x:si>
    <x:t xml:space="preserve">ES</x:t>
  </x:si>
  <x:si>
    <x:t xml:space="preserve">EF</x:t>
  </x:si>
  <x:si>
    <x:t xml:space="preserve">LS</x:t>
  </x:si>
  <x:si>
    <x:t xml:space="preserve">LF</x:t>
  </x:si>
  <x:si>
    <x:t xml:space="preserve">TF</x:t>
  </x:si>
  <x:si>
    <x:t xml:space="preserve">FF</x:t>
  </x:si>
  <x:si>
    <x:t xml:space="preserve">A</x:t>
  </x:si>
  <x:si>
    <x:t xml:space="preserve">—</x:t>
  </x:si>
  <x:si>
    <x:t xml:space="preserve">B</x:t>
  </x:si>
  <x:si>
    <x:t xml:space="preserve">C</x:t>
  </x:si>
  <x:si>
    <x:t xml:space="preserve">D</x:t>
  </x:si>
  <x:si>
    <x:t xml:space="preserve">B, C</x:t>
  </x:si>
  <x:si>
    <x:t xml:space="preserve">Ресурсный выбор</x:t>
  </x:si>
  <x:si>
    <x:t xml:space="preserve">Последовательность и загрузка</x:t>
  </x:si>
  <x:si>
    <x:t xml:space="preserve">Срок</x:t>
  </x:si>
  <x:si>
    <x:t xml:space="preserve">Допущение / риск</x:t>
  </x:si>
  <x:si>
    <x:t xml:space="preserve">Логическая база</x:t>
  </x:si>
  <x:si>
    <x:t xml:space="preserve">И1 выполняет последовательно</x:t>
  </x:si>
  <x:si>
    <x:t xml:space="preserve">И1/И2 после передачи</x:t>
  </x:si>
  <x:si>
    <x:t xml:space="preserve">Прогноз</x:t>
  </x:si>
  <x:si>
    <x:t xml:space="preserve">Сценарий</x:t>
  </x:si>
  <x:si>
    <x:t xml:space="preserve">C, дней</x:t>
  </x:si>
  <x:si>
    <x:t xml:space="preserve">Цена, млн ₽</x:t>
  </x:si>
  <x:si>
    <x:t xml:space="preserve">База C=8</x:t>
  </x:si>
  <x:si>
    <x:t xml:space="preserve">Отклонение C=10</x:t>
  </x:si>
  <x:si>
    <x:t xml:space="preserve">Специалист C=7</x:t>
  </x:si>
  <x:si>
    <x:t xml:space="preserve">1. Воспроизведите решённую логическую сеть: ES, EF, LS, LF, полный и свободный резервы. Объясните, почему</x:t>
  </x:si>
  <x:si>
    <x:t xml:space="preserve">резерв B не является разрешением потратить резерв бюджета.</x:t>
  </x:si>
  <x:si>
    <x:t xml:space="preserve">2. В ресурсном сценарии назначьте инженера И1 на B и C по 100%. Сравните последовательную работу и</x:t>
  </x:si>
  <x:si>
    <x:t xml:space="preserve">передачу одной работы И2. Условия передачи: 1 рабочий день после A; оба инженера заняты передачей, затем B</x:t>
  </x:si>
  <x:si>
    <x:t xml:space="preserve">и C могут идти параллельно. Укажите новую дату и загрузку.</x:t>
  </x:si>
  <x:si>
    <x:t xml:space="preserve">3. Вернитесь к исходной логической сети на листе С06_Расписание. Увеличьте C до 10, затем проверьте</x:t>
  </x:si>
  <x:si>
    <x:t xml:space="preserve">предложение специалиста C=7 за 0,18 млн ₽. В эти 7 дней уже включён ввод специалиста. Ограничение общей</x:t>
  </x:si>
  <x:si>
    <x:t xml:space="preserve">занятости из предыдущего сценария здесь не действует.</x:t>
  </x:si>
  <x:si>
    <x:t xml:space="preserve">4. Дайте рекомендацию по одному ресурсному решению: цена, дата, остаточный риск и условие проверки.</x:t>
  </x:si>
  <x:si>
    <x:t xml:space="preserve">□ Даты получены из модели, а не введены ради нужного ответа.</x:t>
  </x:si>
  <x:si>
    <x:t xml:space="preserve">□ В ресурсном варианте нет скрытой параллельной загрузки свыше 100%.</x:t>
  </x:si>
  <x:si>
    <x:t xml:space="preserve">□ Ресурсный сценарий не смешан с готовыми ответами 23 и 20 дней.</x:t>
  </x:si>
  <x:si>
    <x:t xml:space="preserve">□ Решение объясняет цену и оставшийся риск.</x:t>
  </x:si>
  <x:si>
    <x:t xml:space="preserve">Переход: В С07 используйте найденную ресурсную зависимость при обсуждении ответственности. Остаточный план</x:t>
  </x:si>
  <x:si>
    <x:t xml:space="preserve">С12 будет выдан отдельно на дату состояния.</x:t>
  </x:si>
  <x:si>
    <x:t xml:space="preserve">D06 · Три независимых расчёта расписания</x:t>
  </x:si>
  <x:si>
    <x:t xml:space="preserve">Учебные рабочие дни от 0; календарь пятидневный, 8 часов в рабочем дне, суббота и воскресенье выходные.</x:t>
  </x:si>
  <x:si>
    <x:t xml:space="preserve">Календарные даты необязательны; гражданские праздники в упражнении не учитываются.</x:t>
  </x:si>
  <x:si>
    <x:t xml:space="preserve">Логическая модель не накладывает ресурсное ограничение И1. Сохраняйте её как отдельную основу.</x:t>
  </x:si>
  <x:si>
    <x:t xml:space="preserve">Ресурсный сценарий: И1 нужен B и C на 100%; делить его день пополам без пересчёта длительностей нельзя. И2</x:t>
  </x:si>
  <x:si>
    <x:t xml:space="preserve">обладает нужной компетенцией и доступен после однодневной передачи, которая занимает обоих инженеров после</x:t>
  </x:si>
  <x:si>
    <x:t xml:space="preserve">завершения A.</x:t>
  </x:si>
  <x:si>
    <x:t xml:space="preserve">Вариант C=10 и ускорение C=7 считаются на отдельной копии логической базы с разными доступными ресурсами B</x:t>
  </x:si>
  <x:si>
    <x:t xml:space="preserve">и C. 7 дней включает ввод специалиста. Дополнительно 1 день передачи здесь не прибавляется.</x:t>
  </x:si>
  <x:si>
    <x:t xml:space="preserve">PERT — необязательное продолжение: (O+4M+P)/6. Для A=(2,3,4), B=(4,5,6), C=(6,8,10), D=(8,10,12)</x:t>
  </x:si>
  <x:si>
    <x:t xml:space="preserve">получаются те же 3,5,8,10; совпадение является свойством заданных симметричных оценок.</x:t>
  </x:si>
  <x:si>
    <x:t xml:space="preserve">Смысл работ учебной сети</x:t>
  </x:si>
  <x:si>
    <x:t xml:space="preserve">Архитектура</x:t>
  </x:si>
  <x:si>
    <x:t xml:space="preserve">Интеграция — укрупнённая работа учебной модели</x:t>
  </x:si>
  <x:si>
    <x:t xml:space="preserve">Первоначальная проверка безопасности</x:t>
  </x:si>
  <x:si>
    <x:t xml:space="preserve">Источник задания: «Карточки С01–С13», редакция 8. Все сведения кейса — на листе «Кейс» и во вводной этого</x:t>
  </x:si>
  <x:si>
    <x:t xml:space="preserve">семинара.</x:t>
  </x:si>
  <x:si>
    <x:t xml:space="preserve">Ресурсное условие · рабочие дни</x:t>
  </x:si>
  <x:si>
    <x:t xml:space="preserve">Передача после A, заняты И1 и И2</x:t>
  </x:si>
  <x:si>
    <x:t xml:space="preserve">В этом расчётном примере можно менять длительности; связи заданы. Изменение состава или связей сети</x:t>
  </x:si>
  <x:si>
    <x:t xml:space="preserve">моделируйте отдельно.</x:t>
  </x:si>
  <x:si>
    <x:t xml:space="preserve">Сеть и прогноз — отдельная учебная модель: начало 0, рабочие дни, праздники не заданы. Ресурсный выбор</x:t>
  </x:si>
  <x:si>
    <x:t xml:space="preserve">проверяется отдельно.</x:t>
  </x:si>
  <x:si>
    <x:t xml:space="preserve">В прогнозе B и C имеют разные ресурсы. C=7 уже включает передачу; добавлять к нему ещё один день не</x:t>
  </x:si>
  <x:si>
    <x:t xml:space="preserve">Используйте прежнее решение как основание. Новая общая вводная не является автоматически последствием</x:t>
  </x:si>
  <x:si>
    <x:t xml:space="preserve">вашей рекомендации.</x:t>
  </x:si>
  <x:si>
    <x:t xml:space="preserve">С07 · Кто выполняет работу и как разрешается конфликт</x:t>
  </x:si>
  <x:si>
    <x:t xml:space="preserve">Согласовать участие в работе с правами решений и провести спор по данным и полномочиям.</x:t>
  </x:si>
  <x:si>
    <x:t xml:space="preserve">Состояние: Рабочая модель взаимодействия новой попытки. Роли кейса не равны ролям студентов за столом: студент</x:t>
  </x:si>
  <x:si>
    <x:t xml:space="preserve">может разыгрывать несколько участников.</x:t>
  </x:si>
  <x:si>
    <x:t xml:space="preserve">Задание: Шесть строк RACI, пять правил и один короткий протокол. Полная повторная карта влияния С02 не нужна, если</x:t>
  </x:si>
  <x:si>
    <x:t xml:space="preserve">отношения не изменились.</x:t>
  </x:si>
  <x:si>
    <x:t xml:space="preserve">Шесть результатов заданы в D07: уточнённые требования; подготовленная интеграция SSO; отчёт безопасности;</x:t>
  </x:si>
  <x:si>
    <x:t xml:space="preserve">подтверждённое восстановление; обученная поддержка; пакет выпуска.</x:t>
  </x:si>
  <x:si>
    <x:t xml:space="preserve">Права решений С02 сохраняются. RACI распределяет работу и ответственность за её результат; буква A не создаёт</x:t>
  </x:si>
  <x:si>
    <x:t xml:space="preserve">права изменить бюджет или отменить запрет ИБ.</x:t>
  </x:si>
  <x:si>
    <x:t xml:space="preserve">Конфликт D07: дополнительный отчёт требует 2 дня того же специалиста, обязательное исправление доступа — 2 дня; до</x:t>
  </x:si>
  <x:si>
    <x:t xml:space="preserve">контрольной точки у него 2 доступных дня. Отчёт полезен, но не входит в обязательный минимум пилота.</x:t>
  </x:si>
  <x:si>
    <x:t xml:space="preserve">RACI</x:t>
  </x:si>
  <x:si>
    <x:t xml:space="preserve">РП</x:t>
  </x:si>
  <x:si>
    <x:t xml:space="preserve">Техлид</x:t>
  </x:si>
  <x:si>
    <x:t xml:space="preserve">Уточнённые требования</x:t>
  </x:si>
  <x:si>
    <x:t xml:space="preserve">Подготовленная SSO-интеграция</x:t>
  </x:si>
  <x:si>
    <x:t xml:space="preserve">Отчёт безопасности</x:t>
  </x:si>
  <x:si>
    <x:t xml:space="preserve">Подтверждённое восстановление</x:t>
  </x:si>
  <x:si>
    <x:t xml:space="preserve">Обученная поддержка</x:t>
  </x:si>
  <x:si>
    <x:t xml:space="preserve">Пакет выпуска</x:t>
  </x:si>
  <x:si>
    <x:t xml:space="preserve">Правила команды</x:t>
  </x:si>
  <x:si>
    <x:t xml:space="preserve">Ситуация</x:t>
  </x:si>
  <x:si>
    <x:t xml:space="preserve">Наблюдаемое действие</x:t>
  </x:si>
  <x:si>
    <x:t xml:space="preserve">Как проверяем</x:t>
  </x:si>
  <x:si>
    <x:t xml:space="preserve">Доступ к файлу</x:t>
  </x:si>
  <x:si>
    <x:t xml:space="preserve">Фиксация решения</x:t>
  </x:si>
  <x:si>
    <x:t xml:space="preserve">Сообщение о риске</x:t>
  </x:si>
  <x:si>
    <x:t xml:space="preserve">Несогласие</x:t>
  </x:si>
  <x:si>
    <x:t xml:space="preserve">Возвращение после отсутствия</x:t>
  </x:si>
  <x:si>
    <x:t xml:space="preserve">Протокол конфликта</x:t>
  </x:si>
  <x:si>
    <x:t xml:space="preserve">Интересы и факты</x:t>
  </x:si>
  <x:si>
    <x:t xml:space="preserve">Варианты и последствия</x:t>
  </x:si>
  <x:si>
    <x:t xml:space="preserve">Решение / полномочие</x:t>
  </x:si>
  <x:si>
    <x:t xml:space="preserve">Действие и проверка</x:t>
  </x:si>
  <x:si>
    <x:t xml:space="preserve">1. Назначьте R, A, C, I для шести результатов и шести ролей: куратор, РП, владелец продукта, техлид, ИБ,</x:t>
  </x:si>
  <x:si>
    <x:t xml:space="preserve">эксплуатация. Для каждого результата ровно один A и хотя бы один R; один человек может сочетать A/R, если это</x:t>
  </x:si>
  <x:si>
    <x:t xml:space="preserve">объяснимо.</x:t>
  </x:si>
  <x:si>
    <x:t xml:space="preserve">2. Проверьте два наиболее загруженных участника и одну зависимость согласования. Не добавляйте C всем «на всякий</x:t>
  </x:si>
  <x:si>
    <x:t xml:space="preserve">случай».</x:t>
  </x:si>
  <x:si>
    <x:t xml:space="preserve">3. Примите пять наблюдаемых правил вашей реальной учебной команды: доступ к файлу; фиксация решения; сообщение о</x:t>
  </x:si>
  <x:si>
    <x:t xml:space="preserve">риске; несогласие; восстановление после отсутствия. Для каждого назовите действие и проверку.</x:t>
  </x:si>
  <x:si>
    <x:t xml:space="preserve">4. Разыграйте конфликт. Разделите интересы, факты и предположения; рассмотрите два варианта; определите допустимое</x:t>
  </x:si>
  <x:si>
    <x:t xml:space="preserve">решение, уполномоченного, владельца действия и момент проверки.</x:t>
  </x:si>
  <x:si>
    <x:t xml:space="preserve">□ Ответственность за работу не подменяет право авторизации и допуска.</x:t>
  </x:si>
  <x:si>
    <x:t xml:space="preserve">□ Конфликт учитывает реальную доступность одного специалиста.</x:t>
  </x:si>
  <x:si>
    <x:t xml:space="preserve">□ Правила можно наблюдать; «работать ответственно» без действия недостаточно.</x:t>
  </x:si>
  <x:si>
    <x:t xml:space="preserve">□ Несогласие разобрано по решению и фактам, без оценки личности.</x:t>
  </x:si>
  <x:si>
    <x:t xml:space="preserve">Переход: RACI и протокол поддерживают последующие решения о рисках и выпуске; полномочия не назначаются заново на</x:t>
  </x:si>
  <x:si>
    <x:t xml:space="preserve">каждом семинаре.</x:t>
  </x:si>
  <x:si>
    <x:t xml:space="preserve">D07 · Работы, роли и один разрешимый конфликт</x:t>
  </x:si>
  <x:si>
    <x:t xml:space="preserve">Задание о взаимодействии, без требования угадать скрытые назначения.</x:t>
  </x:si>
  <x:si>
    <x:t xml:space="preserve">Результаты для RACI: 1) уточнённые требования; 2) подготовленная SSO-интеграция; 3) отчёт по безопасности; 4)</x:t>
  </x:si>
  <x:si>
    <x:t xml:space="preserve">подтверждённое восстановление; 5) обученная поддержка; 6) пакет выпуска.</x:t>
  </x:si>
  <x:si>
    <x:t xml:space="preserve">Куратор распоряжается границами авторизации; владелец продукта управляет приоритетом; РП координирует план и</x:t>
  </x:si>
  <x:si>
    <x:t xml:space="preserve">готовит изменения; технический руководитель организует техническую работу; ИБ проверяет и принимает допустимый</x:t>
  </x:si>
  <x:si>
    <x:t xml:space="preserve">риск в своей области; эксплуатация отвечает за допуск и устойчивую работу.</x:t>
  </x:si>
  <x:si>
    <x:t xml:space="preserve">RACI — проект предлагаемого распределения работы. Назначения нужно согласовать с этими полномочиями и доступной</x:t>
  </x:si>
  <x:si>
    <x:t xml:space="preserve">компетенцией, но несколько вариантов распределения подготовки допустимы.</x:t>
  </x:si>
  <x:si>
    <x:t xml:space="preserve">Конфликт: до контрольной точки остаётся 2 рабочих дня специалиста. Обязательное исправление доступа занимает 2</x:t>
  </x:si>
  <x:si>
    <x:t xml:space="preserve">дня. Новый отчёт, полезный владельцу продукта, тоже занимает 2 дня того же специалиста. Другой специалист и</x:t>
  </x:si>
  <x:si>
    <x:t xml:space="preserve">сокращение длительности не подтверждены. Отчёт не входит в обязательный минимум пилота; дату команда сама не</x:t>
  </x:si>
  <x:si>
    <x:t xml:space="preserve">меняет.</x:t>
  </x:si>
  <x:si>
    <x:t xml:space="preserve">Допустимые направления решения: выполнить обязательное исправление и отложить отчёт с решением владельца продукта;</x:t>
  </x:si>
  <x:si>
    <x:t xml:space="preserve">запросить перенос даты / дополнительный подтверждённый ресурс у куратора. Обещать обе работы за два дня без новых</x:t>
  </x:si>
  <x:si>
    <x:t xml:space="preserve">данных нельзя.</x:t>
  </x:si>
  <x:si>
    <x:t xml:space="preserve">Используйте прежнее решение как основание. Новая общая вводная не является автоматически последствием вашей</x:t>
  </x:si>
  <x:si>
    <x:t xml:space="preserve">рекомендации.</x:t>
  </x:si>
  <x:si>
    <x:t xml:space="preserve">С08 · Стоимость, два прогноза и выбор способа получить модуль</x:t>
  </x:si>
  <x:si>
    <x:t xml:space="preserve">Числовые вводные ↓</x:t>
  </x:si>
  <x:si>
    <x:t xml:space="preserve">Разделить показатели состояния, условный прогноз и экономический выбор.</x:t>
  </x:si>
  <x:si>
    <x:t xml:space="preserve">Состояние: Часть 1: общий срез UniFlow на 15 ноября, версия 0.8. Часть 2: отдельное расчётное сравнение способов получить модуль</x:t>
  </x:si>
  <x:si>
    <x:t xml:space="preserve">панели координатора; это не незаявленная замена плана всего проекта.</x:t>
  </x:si>
  <x:si>
    <x:t xml:space="preserve">Задание: Расчётный лист, две проверяемые гипотезы и одна условная рекомендация. Новый временной бюджет всего проекта на этом семинаре</x:t>
  </x:si>
  <x:si>
    <x:t xml:space="preserve">не строится.</x:t>
  </x:si>
  <x:si>
    <x:t xml:space="preserve">D08-EVM: PV=2,4; EV=2,0; AC=2,5; BAC=4,8 млн ₽ на одну дату и в одной базе.</x:t>
  </x:si>
  <x:si>
    <x:t xml:space="preserve">D08-BUY: одинаковый объём возможностей модуля и горизонт 12 месяцев эксплуатации после его доступности. Сроки 8 и 5 недель</x:t>
  </x:si>
  <x:si>
    <x:t xml:space="preserve">отсчитываются от условного решения о модуле, а не от 15 ноября до 1 декабря.</x:t>
  </x:si>
  <x:si>
    <x:t xml:space="preserve">Цена задержки 0,12 млн ₽/неделю — заданная учебная оценка экономического эффекта. Денежные затраты владения и цену задержки покажите</x:t>
  </x:si>
  <x:si>
    <x:t xml:space="preserve">раздельно, затем сравните их сумму.</x:t>
  </x:si>
  <x:si>
    <x:t xml:space="preserve">Состояние и прогноз</x:t>
  </x:si>
  <x:si>
    <x:t xml:space="preserve">Показатель / сценарий</x:t>
  </x:si>
  <x:si>
    <x:t xml:space="preserve">Формула</x:t>
  </x:si>
  <x:si>
    <x:t xml:space="preserve">Значение и единица</x:t>
  </x:si>
  <x:si>
    <x:t xml:space="preserve">Смысл / допущение</x:t>
  </x:si>
  <x:si>
    <x:t xml:space="preserve">SV</x:t>
  </x:si>
  <x:si>
    <x:t xml:space="preserve">EV − PV, млн ₽</x:t>
  </x:si>
  <x:si>
    <x:t xml:space="preserve">CV</x:t>
  </x:si>
  <x:si>
    <x:t xml:space="preserve">EV − AC, млн ₽</x:t>
  </x:si>
  <x:si>
    <x:t xml:space="preserve">SPI</x:t>
  </x:si>
  <x:si>
    <x:t xml:space="preserve">EV / PV, коэффициент</x:t>
  </x:si>
  <x:si>
    <x:t xml:space="preserve">CPI</x:t>
  </x:si>
  <x:si>
    <x:t xml:space="preserve">EV / AC, коэффициент</x:t>
  </x:si>
  <x:si>
    <x:t xml:space="preserve">EAC: разовое отклонение</x:t>
  </x:si>
  <x:si>
    <x:t xml:space="preserve">AC + BAC − EV, млн ₽</x:t>
  </x:si>
  <x:si>
    <x:t xml:space="preserve">EAC: CPI сохраняется</x:t>
  </x:si>
  <x:si>
    <x:t xml:space="preserve">BAC / CPI, млн ₽</x:t>
  </x:si>
  <x:si>
    <x:t xml:space="preserve">Причины и проверка</x:t>
  </x:si>
  <x:si>
    <x:t xml:space="preserve">Гипотеза</x:t>
  </x:si>
  <x:si>
    <x:t xml:space="preserve">Различающее свидетельство</x:t>
  </x:si>
  <x:si>
    <x:t xml:space="preserve">Владелец запроса</x:t>
  </x:si>
  <x:si>
    <x:t xml:space="preserve">Основная гипотеза</x:t>
  </x:si>
  <x:si>
    <x:t xml:space="preserve">Альтернативная гипотеза</x:t>
  </x:si>
  <x:si>
    <x:t xml:space="preserve">Экономический выбор</x:t>
  </x:si>
  <x:si>
    <x:t xml:space="preserve">Затраты владения</x:t>
  </x:si>
  <x:si>
    <x:t xml:space="preserve">Цена ожидания</x:t>
  </x:si>
  <x:si>
    <x:t xml:space="preserve">Общая стоимость</x:t>
  </x:si>
  <x:si>
    <x:t xml:space="preserve">Риск</x:t>
  </x:si>
  <x:si>
    <x:t xml:space="preserve">MAKE</x:t>
  </x:si>
  <x:si>
    <x:t xml:space="preserve">BUY: интеграция 0,40</x:t>
  </x:si>
  <x:si>
    <x:t xml:space="preserve">BUY: интеграция 0,25</x:t>
  </x:si>
  <x:si>
    <x:t xml:space="preserve">BUY: интеграция 0,55</x:t>
  </x:si>
  <x:si>
    <x:t xml:space="preserve">Рекомендация</x:t>
  </x:si>
  <x:si>
    <x:t xml:space="preserve">Порог смены</x:t>
  </x:si>
  <x:si>
    <x:t xml:space="preserve">Допущение</x:t>
  </x:si>
  <x:si>
    <x:t xml:space="preserve">Следующее действие</x:t>
  </x:si>
  <x:si>
    <x:t xml:space="preserve">1. Проверьте SV, CV, SPI и CPI. Для каждого назовите смысл; SV в деньгах не превращайте напрямую в дни задержки.</x:t>
  </x:si>
  <x:si>
    <x:t xml:space="preserve">2. Воспроизведите два EAC: разовое отклонение и сохранение CPI. Это условные сценарии, а не доверительный интервал. Назовите данные,</x:t>
  </x:si>
  <x:si>
    <x:t xml:space="preserve">позволяющие предпочесть один сценарий.</x:t>
  </x:si>
  <x:si>
    <x:t xml:space="preserve">3. Выберите основную и альтернативную гипотезу из списка: сложность недооценена; ресурс перегружен; работа расширена без разрешения;</x:t>
  </x:si>
  <x:si>
    <x:t xml:space="preserve">разовая закупка. Укажите разные свидетельства, которые отличат их. Угадать истинную причину из четырёх чисел нельзя.</x:t>
  </x:si>
  <x:si>
    <x:t xml:space="preserve">4. Сравните собственную разработку и покупку по D08-BUY. Найдите стоимость владения, цену ожидания и общую экономическую стоимость.</x:t>
  </x:si>
  <x:si>
    <x:t xml:space="preserve">Рассчитайте порог стоимости интеграции и проверьте три значения.</x:t>
  </x:si>
  <x:si>
    <x:t xml:space="preserve">5. Дайте рекомендацию при базовых числах и укажите условие смены решения. Не складывайте цену выбранного модуля с EAC без информации о</x:t>
  </x:si>
  <x:si>
    <x:t xml:space="preserve">том, включён ли он в BAC.</x:t>
  </x:si>
  <x:si>
    <x:t xml:space="preserve">□ Формулы и единицы верны; сценарное допущение обозначено.</x:t>
  </x:si>
  <x:si>
    <x:t xml:space="preserve">□ Причина не выдана за установленный факт.</x:t>
  </x:si>
  <x:si>
    <x:t xml:space="preserve">□ Сравнение использует один предмет и горизонт; цена задержки не названа бухгалтерским расходом.</x:t>
  </x:si>
  <x:si>
    <x:t xml:space="preserve">□ Рекомендация меняется при вычисленном условии, а не по вкусу команды.</x:t>
  </x:si>
  <x:si>
    <x:t xml:space="preserve">Переход: Срез 15 ноября сохраняется в истории. После изменения объёма 18 ноября будущий прогноз имеет другую основу; старое EAC нельзя</x:t>
  </x:si>
  <x:si>
    <x:t xml:space="preserve">просто объявить опровергнутым.</x:t>
  </x:si>
  <x:si>
    <x:t xml:space="preserve">D08-EVM · Освоенный объём на 15 ноября</x:t>
  </x:si>
  <x:si>
    <x:t xml:space="preserve">UniFlow 0.8. Все денежные величины в млн ₽ и в одной исходной базе.</x:t>
  </x:si>
  <x:si>
    <x:t xml:space="preserve">PV=2,4; EV=2,0; AC=2,5; BAC=4,8.</x:t>
  </x:si>
  <x:si>
    <x:t xml:space="preserve">SV=EV−PV; CV=EV−AC; SPI=EV/PV; CPI=EV/AC.</x:t>
  </x:si>
  <x:si>
    <x:t xml:space="preserve">Сценарий разового перерасхода: оставшиеся работы выполняются по бюджетной оценке, EAC=AC+(BAC−EV). Сценарий сохранения CPI:</x:t>
  </x:si>
  <x:si>
    <x:t xml:space="preserve">эффективность текущего объёма применяется ко всему проекту, EAC=BAC/CPI.</x:t>
  </x:si>
  <x:si>
    <x:t xml:space="preserve">Ни одна из формул не доказывает причину. Для выбора нужны сведения об объёме, составе затрат, фактической занятости и изменениях.</x:t>
  </x:si>
  <x:si>
    <x:t xml:space="preserve">D08-BUY · Покупка или создание модуля панели координатора</x:t>
  </x:si>
  <x:si>
    <x:t xml:space="preserve">Самостоятельный экономический пример; не план запуска всего UniFlow на 15 ноября.</x:t>
  </x:si>
  <x:si>
    <x:t xml:space="preserve">Предмет — модуль панели с одинаковыми согласованными функциями и правами. Оба варианта считаются допустимыми по обязательным критериям</x:t>
  </x:si>
  <x:si>
    <x:t xml:space="preserve">до сравнения цены; если проверка соответствия это опровергнет, сравнение пересматривается.</x:t>
  </x:si>
  <x:si>
    <x:t xml:space="preserve">Горизонт владения — 12 месяцев эксплуатации после готовности модуля. Цена включает создание/лицензию и внедрение в пределах указанного</x:t>
  </x:si>
  <x:si>
    <x:t xml:space="preserve">варианта; сопровождение приведено за весь горизонт. Одинаковые затраты, общие обоим вариантам, исключены. Инфляция, налоги и</x:t>
  </x:si>
  <x:si>
    <x:t xml:space="preserve">дисконтирование не моделируются; все значения сопоставимы.</x:t>
  </x:si>
  <x:si>
    <x:t xml:space="preserve">8 и 5 недель отсчитываются от условного дня решения. Цена ожидания 0,12 млн ₽ за неделю учитывается как оценка недополученного</x:t>
  </x:si>
  <x:si>
    <x:t xml:space="preserve">эффекта. Это экономическая цена задержки, её не нужно записывать в бухгалтерский бюджет как платёж.</x:t>
  </x:si>
  <x:si>
    <x:t xml:space="preserve">Стоимость владения = цена + интеграция + сопровождение + выход. Общая экономическая стоимость = стоимость владения + срок × 0,12. Не</x:t>
  </x:si>
  <x:si>
    <x:t xml:space="preserve">прибавляйте её к EAC из другой части задания.</x:t>
  </x:si>
  <x:si>
    <x:t xml:space="preserve">Числовые вводные EVM · млн ₽ · 15.11.2026, версия 0.8</x:t>
  </x:si>
  <x:si>
    <x:t xml:space="preserve">Показатель</x:t>
  </x:si>
  <x:si>
    <x:t xml:space="preserve">Ввод</x:t>
  </x:si>
  <x:si>
    <x:t xml:space="preserve">PV</x:t>
  </x:si>
  <x:si>
    <x:t xml:space="preserve">EV</x:t>
  </x:si>
  <x:si>
    <x:t xml:space="preserve">AC</x:t>
  </x:si>
  <x:si>
    <x:t xml:space="preserve">BAC</x:t>
  </x:si>
  <x:si>
    <x:t xml:space="preserve">Общий параметр сравнения</x:t>
  </x:si>
  <x:si>
    <x:t xml:space="preserve">Цена ожидания, млн ₽ / неделю</x:t>
  </x:si>
  <x:si>
    <x:t xml:space="preserve">Горизонт владения после готовности, месяцев</x:t>
  </x:si>
  <x:si>
    <x:t xml:space="preserve">Модуль · компоненты затрат млн ₽; готовность в неделях</x:t>
  </x:si>
  <x:si>
    <x:t xml:space="preserve">Цена</x:t>
  </x:si>
  <x:si>
    <x:t xml:space="preserve">Интеграция</x:t>
  </x:si>
  <x:si>
    <x:t xml:space="preserve">Поддержка</x:t>
  </x:si>
  <x:si>
    <x:t xml:space="preserve">Выход</x:t>
  </x:si>
  <x:si>
    <x:t xml:space="preserve">Готовность, недель</x:t>
  </x:si>
  <x:si>
    <x:t xml:space="preserve">BUY: 0,40</x:t>
  </x:si>
  <x:si>
    <x:t xml:space="preserve">BUY: 0,25</x:t>
  </x:si>
  <x:si>
    <x:t xml:space="preserve">BUY: 0,55</x:t>
  </x:si>
  <x:si>
    <x:t xml:space="preserve">Проверка чувствительности</x:t>
  </x:si>
  <x:si>
    <x:t xml:space="preserve">Расчёт, млн ₽</x:t>
  </x:si>
  <x:si>
    <x:t xml:space="preserve">Предельная цена интеграции BUY при равной общей стоимости</x:t>
  </x:si>
  <x:si>
    <x:t xml:space="preserve">Стоимость владения = цена + интеграция + поддержка + выход. Общая стоимость добавляет цену ожидания.</x:t>
  </x:si>
  <x:si>
    <x:t xml:space="preserve">Сравнение модуля нельзя прибавлять к EAC всего проекта. Числа служат основанием; рекомендация и допущения — ваши.</x:t>
  </x:si>
  <x:si>
    <x:t xml:space="preserve">С09 · Достаточно ли доказательств для допуска версии</x:t>
  </x:si>
  <x:si>
    <x:t xml:space="preserve">Принять обоснованное решение о допуске по свидетельствам конкретной версии.</x:t>
  </x:si>
  <x:si>
    <x:t xml:space="preserve">Состояние: 20 ноября, UniFlow 0.9. Общие факты сохранены: 96% проверок пройдено; два критичных дефекта открыты; восстановление не</x:t>
  </x:si>
  <x:si>
    <x:t xml:space="preserve">проверено; поддержка не обучена.</x:t>
  </x:si>
  <x:si>
    <x:t xml:space="preserve">Задание: Карта пяти свойств и решение о допуске. Разработка программы и проведение настоящих испытаний не требуются: оцениваются</x:t>
  </x:si>
  <x:si>
    <x:t xml:space="preserve">выданные свидетельства и план недостающих проверок.</x:t>
  </x:si>
  <x:si>
    <x:t xml:space="preserve">D09: выдержки из протоколов и карточки дефектов. Это учебные документы, а не результаты работы вашей команды.</x:t>
  </x:si>
  <x:si>
    <x:t xml:space="preserve">Пять рассматриваемых свойств: функциональная пригодность, производительность, безопасность, надёжность и удобство взаимодействия. Это</x:t>
  </x:si>
  <x:si>
    <x:t xml:space="preserve">выбранные для упражнения свойства; модель ISO/IEC 25010:2023 шире.</x:t>
  </x:si>
  <x:si>
    <x:t xml:space="preserve">Правило допуска кейса: открытые критичные дефекты доступа/целостности, отсутствие подтверждённого восстановления или готовой</x:t>
  </x:si>
  <x:si>
    <x:t xml:space="preserve">поддержки блокируют допуск. Условия будущего допуска не равны разрешению начать эксплуатацию сейчас.</x:t>
  </x:si>
  <x:si>
    <x:t xml:space="preserve">Карта доказательств</x:t>
  </x:si>
  <x:si>
    <x:t xml:space="preserve">Свойство</x:t>
  </x:si>
  <x:si>
    <x:t xml:space="preserve">Документ / версия</x:t>
  </x:si>
  <x:si>
    <x:t xml:space="preserve">Что подтверждено</x:t>
  </x:si>
  <x:si>
    <x:t xml:space="preserve">Пробел / риск</x:t>
  </x:si>
  <x:si>
    <x:t xml:space="preserve">Функциональная пригодность</x:t>
  </x:si>
  <x:si>
    <x:t xml:space="preserve">Производительность</x:t>
  </x:si>
  <x:si>
    <x:t xml:space="preserve">Надёжность</x:t>
  </x:si>
  <x:si>
    <x:t xml:space="preserve">Удобство взаимодействия</x:t>
  </x:si>
  <x:si>
    <x:t xml:space="preserve">Контрольная точка</x:t>
  </x:si>
  <x:si>
    <x:t xml:space="preserve">Условие / проверка</x:t>
  </x:si>
  <x:si>
    <x:t xml:space="preserve">Когда предъявить</x:t>
  </x:si>
  <x:si>
    <x:t xml:space="preserve">Решение при неуспехе</x:t>
  </x:si>
  <x:si>
    <x:t xml:space="preserve">Допуск</x:t>
  </x:si>
  <x:si>
    <x:t xml:space="preserve">Решение сейчас</x:t>
  </x:si>
  <x:si>
    <x:t xml:space="preserve">Уполномоченный</x:t>
  </x:si>
  <x:si>
    <x:t xml:space="preserve">Условия повторного рассмотрения</x:t>
  </x:si>
  <x:si>
    <x:t xml:space="preserve">1. Сопоставьте каждое свидетельство со свойством, версией и критерием. Для каждого из пяти свойств отметьте: подтверждено;</x:t>
  </x:si>
  <x:si>
    <x:t xml:space="preserve">опровергнуто; данных недостаточно.</x:t>
  </x:si>
  <x:si>
    <x:t xml:space="preserve">2. Выберите три наиболее существенных пробела или несоответствия. Назовите нужную проверку, условия, владельца и событие повторного</x:t>
  </x:si>
  <x:si>
    <x:t xml:space="preserve">рассмотрения.</x:t>
  </x:si>
  <x:si>
    <x:t xml:space="preserve">3. Сформулируйте решение на текущую дату и отдельно условия будущего решения. Не заменяйте отсутствующие проверки утверждениями</x:t>
  </x:si>
  <x:si>
    <x:t xml:space="preserve">«успешно».</x:t>
  </x:si>
  <x:si>
    <x:t xml:space="preserve">4. Проверьте, какие работы должны попасть в план готовности. Укажите уполномоченного на допуск и участника, принимающего</x:t>
  </x:si>
  <x:si>
    <x:t xml:space="preserve">соответствующий риск.</x:t>
  </x:si>
  <x:si>
    <x:t xml:space="preserve">□ Данные другой версии не представлены как доказательство текущей без обоснованного анализа применимости.</x:t>
  </x:si>
  <x:si>
    <x:t xml:space="preserve">□ Общий процент не скрывает критичные неуспехи.</x:t>
  </x:si>
  <x:si>
    <x:t xml:space="preserve">□ Предложенная проверка способна подтвердить нужное свойство.</x:t>
  </x:si>
  <x:si>
    <x:t xml:space="preserve">□ Условный допуск не обходит запретительные критерии кейса.</x:t>
  </x:si>
  <x:si>
    <x:t xml:space="preserve">Переход: Сохраните решение на 20 ноября. Новые сведения 24 ноября — новый общий срез, а не оценка эффективности вашего плана</x:t>
  </x:si>
  <x:si>
    <x:t xml:space="preserve">проверок.</x:t>
  </x:si>
  <x:si>
    <x:t xml:space="preserve">D09 · Пакет свидетельств версии 0.9</x:t>
  </x:si>
  <x:si>
    <x:t xml:space="preserve">Состояние на 20 ноября. Все испытания ниже — на тестовых данных; студенты читают готовые учебные свидетельства.</x:t>
  </x:si>
  <x:si>
    <x:t xml:space="preserve">Общий отчёт T-09: 100 запланированных проверок выполнено, 96 успешны, 4 неуспешны. Два неуспеха соответствуют критичным дефектам</x:t>
  </x:si>
  <x:si>
    <x:t xml:space="preserve">SEC-09 и DATA-09; два — некритичным ошибкам оформления. Процент не является взвешенной оценкой готовности.</x:t>
  </x:si>
  <x:si>
    <x:t xml:space="preserve">Критичные открытые дефекты доступа и целостности, отсутствие подтверждённого восстановления или обученной поддержки блокируют текущий</x:t>
  </x:si>
  <x:si>
    <x:t xml:space="preserve">допуск по правилам кейса. Снять эти условия общей подписью «принимаем риск» нельзя.</x:t>
  </x:si>
  <x:si>
    <x:t xml:space="preserve">Критерии REQ/PERF/REL соответствуют D05. Решение относится к 0.9; в случае новой сборки нужно определить, какие прежние свидетельства</x:t>
  </x:si>
  <x:si>
    <x:t xml:space="preserve">сохраняют применимость и какие проверки повторяются.</x:t>
  </x:si>
  <x:si>
    <x:t xml:space="preserve">Документы</x:t>
  </x:si>
  <x:si>
    <x:t xml:space="preserve">Версия / условия</x:t>
  </x:si>
  <x:si>
    <x:t xml:space="preserve">Наблюдение</x:t>
  </x:si>
  <x:si>
    <x:t xml:space="preserve">Ограничение</x:t>
  </x:si>
  <x:si>
    <x:t xml:space="preserve">F-09</x:t>
  </x:si>
  <x:si>
    <x:t xml:space="preserve">0.9; тестовый SSO и 500 записей</x:t>
  </x:si>
  <x:si>
    <x:t xml:space="preserve">Обычная регистрация и доставка отправленного отзыва работают; пять измерений доставки: 8,12,16,40,55 секунд.</x:t>
  </x:si>
  <x:si>
    <x:t xml:space="preserve">Это подтверждает проверенные сценарии, а не всю функциональную пригодность.</x:t>
  </x:si>
  <x:si>
    <x:t xml:space="preserve">SEC-09</x:t>
  </x:si>
  <x:si>
    <x:t xml:space="preserve">0.9; отрицательный сценарий прав</x:t>
  </x:si>
  <x:si>
    <x:t xml:space="preserve">Участник команды может прочитать закрытый статус другой команды при прямом запросе. Дефект критичный, открыт.</x:t>
  </x:si>
  <x:si>
    <x:t xml:space="preserve">Успешный обычный вход SSO не закрывает нарушение прав.</x:t>
  </x:si>
  <x:si>
    <x:t xml:space="preserve">DATA-09</x:t>
  </x:si>
  <x:si>
    <x:t xml:space="preserve">0.9; два одновременных подтверждённых обновления</x:t>
  </x:si>
  <x:si>
    <x:t xml:space="preserve">Одно подтверждённое изменение статуса теряется. Дефект критичный, открыт.</x:t>
  </x:si>
  <x:si>
    <x:t xml:space="preserve">Нужно исправление и повторная проверка конкурирующих изменений.</x:t>
  </x:si>
  <x:si>
    <x:t xml:space="preserve">P-08</x:t>
  </x:si>
  <x:si>
    <x:t xml:space="preserve">0.8; 50 виртуальных пользователей, 500 записей</x:t>
  </x:si>
  <x:si>
    <x:t xml:space="preserve">p95 ответа панели 1,8 секунды; протокол сохранён.</x:t>
  </x:si>
  <x:si>
    <x:t xml:space="preserve">В 0.9 менялась сборка сводки. Применимость протокола 0.8 к 0.9 не доказана.</x:t>
  </x:si>
  <x:si>
    <x:t xml:space="preserve">U-09</x:t>
  </x:si>
  <x:si>
    <x:t xml:space="preserve">0.9; 10 представителей команд, одинаковое задание</x:t>
  </x:si>
  <x:si>
    <x:t xml:space="preserve">9 участников зарегистрировались без помощи не дольше 3 минут; один — за 3 минуты 30 секунд.</x:t>
  </x:si>
  <x:si>
    <x:t xml:space="preserve">Узкий критерий REQ-REG выполнен; вывод о всех пользователях и всех сценариях из этого не следует.</x:t>
  </x:si>
  <x:si>
    <x:t xml:space="preserve">R-09</x:t>
  </x:si>
  <x:si>
    <x:t xml:space="preserve">0.9</x:t>
  </x:si>
  <x:si>
    <x:t xml:space="preserve">Копия создана; восстановления согласованного набора из неё ещё не проводили.</x:t>
  </x:si>
  <x:si>
    <x:t xml:space="preserve">Наличие копии не доказывает время и полноту восстановления.</x:t>
  </x:si>
  <x:si>
    <x:t xml:space="preserve">O-09</x:t>
  </x:si>
  <x:si>
    <x:t xml:space="preserve">Инструкция черновая; поддержка обучение не прошла.</x:t>
  </x:si>
  <x:si>
    <x:t xml:space="preserve">Эксплуатационная готовность не подтверждена.</x:t>
  </x:si>
  <x:si>
    <x:t xml:space="preserve">С10 · Риски: от возможного события к действию</x:t>
  </x:si>
  <x:si>
    <x:t xml:space="preserve">Сформулировать будущий риск, оценить реакцию и отличить её стоимость от резерва.</x:t>
  </x:si>
  <x:si>
    <x:t xml:space="preserve">Состояние: Для этого упражнения возвращаемся к планированию на 1 октября. Используйте сведения, доступные в начале</x:t>
  </x:si>
  <x:si>
    <x:t xml:space="preserve">новой попытки. Ноябрьские события — отдельные общие вводные, их нельзя записывать как уже известный исход на 1</x:t>
  </x:si>
  <x:si>
    <x:t xml:space="preserve">октября.</x:t>
  </x:si>
  <x:si>
    <x:t xml:space="preserve">Задание: Шесть содержательных строк вместо прежних двенадцати; четыре расчёта, из них три с открытым решением; две</x:t>
  </x:si>
  <x:si>
    <x:t xml:space="preserve">полные реакции.</x:t>
  </x:si>
  <x:si>
    <x:t xml:space="preserve">D10: три разобранных события и один новый расчёт; денежные последствия — дополнительные затраты при наступлении</x:t>
  </x:si>
  <x:si>
    <x:t xml:space="preserve">события, возможности записаны со знаком минус.</x:t>
  </x:si>
  <x:si>
    <x:t xml:space="preserve">Интеграционный риск D10 относится к обязательному SSO. Дополнительный обмен с внешним реестром — другая зависимость.</x:t>
  </x:si>
  <x:si>
    <x:t xml:space="preserve">Вероятности — учебные оценки, а не измеренные частоты. Сумма EMV — ориентир ожидания; она не определяет достаточный</x:t>
  </x:si>
  <x:si>
    <x:t xml:space="preserve">запас денег для неблагоприятного исхода.</x:t>
  </x:si>
  <x:si>
    <x:t xml:space="preserve">Реестр</x:t>
  </x:si>
  <x:si>
    <x:t xml:space="preserve">Причина → событие → цель</x:t>
  </x:si>
  <x:si>
    <x:t xml:space="preserve">Угроза / возможность</x:t>
  </x:si>
  <x:si>
    <x:t xml:space="preserve">Приоритет и основание</x:t>
  </x:si>
  <x:si>
    <x:t xml:space="preserve">R-SSO
</x:t>
  </x:si>
  <x:si>
    <x:t xml:space="preserve">R-SEC
</x:t>
  </x:si>
  <x:si>
    <x:t xml:space="preserve">O-ADAPT
</x:t>
  </x:si>
  <x:si>
    <x:t xml:space="preserve">R-BACKUP
</x:t>
  </x:si>
  <x:si>
    <x:t xml:space="preserve">Событие команды 1
</x:t>
  </x:si>
  <x:si>
    <x:t xml:space="preserve">Событие команды 2
</x:t>
  </x:si>
  <x:si>
    <x:t xml:space="preserve">EMV и реакции</x:t>
  </x:si>
  <x:si>
    <x:t xml:space="preserve">Событие</x:t>
  </x:si>
  <x:si>
    <x:t xml:space="preserve">p до</x:t>
  </x:si>
  <x:si>
    <x:t xml:space="preserve">EMV до</x:t>
  </x:si>
  <x:si>
    <x:t xml:space="preserve">Цена реакции</x:t>
  </x:si>
  <x:si>
    <x:t xml:space="preserve">p после</x:t>
  </x:si>
  <x:si>
    <x:t xml:space="preserve">EMV после</x:t>
  </x:si>
  <x:si>
    <x:t xml:space="preserve">R-SSO</x:t>
  </x:si>
  <x:si>
    <x:t xml:space="preserve">R-SEC</x:t>
  </x:si>
  <x:si>
    <x:t xml:space="preserve">O-ADAPT</x:t>
  </x:si>
  <x:si>
    <x:t xml:space="preserve">R-BACKUP</x:t>
  </x:si>
  <x:si>
    <x:t xml:space="preserve">Две реакции</x:t>
  </x:si>
  <x:si>
    <x:t xml:space="preserve">Действие до</x:t>
  </x:si>
  <x:si>
    <x:t xml:space="preserve">Триггер</x:t>
  </x:si>
  <x:si>
    <x:t xml:space="preserve">Действие после</x:t>
  </x:si>
  <x:si>
    <x:t xml:space="preserve">Владелец / срок</x:t>
  </x:si>
  <x:si>
    <x:t xml:space="preserve">Приоритет 1</x:t>
  </x:si>
  <x:si>
    <x:t xml:space="preserve">Приоритет 2</x:t>
  </x:si>
  <x:si>
    <x:t xml:space="preserve">Резерв</x:t>
  </x:si>
  <x:si>
    <x:t xml:space="preserve">Заданный резерв</x:t>
  </x:si>
  <x:si>
    <x:t xml:space="preserve">Что он не покрывает</x:t>
  </x:si>
  <x:si>
    <x:t xml:space="preserve">Кто и когда решает</x:t>
  </x:si>
  <x:si>
    <x:t xml:space="preserve">1. Сначала индивидуально назовите возможное будущее событие, затем соберите шесть различных рисков и возможностей,</x:t>
  </x:si>
  <x:si>
    <x:t xml:space="preserve">включая минимум одну возможность. Четыре строки могут использовать D10, две создайте из контекста.</x:t>
  </x:si>
  <x:si>
    <x:t xml:space="preserve">2. Для каждой строки запишите причину, неопределённое событие и последствие для цели. Открытый дефект не записывайте</x:t>
  </x:si>
  <x:si>
    <x:t xml:space="preserve">как будущее событие.</x:t>
  </x:si>
  <x:si>
    <x:t xml:space="preserve">3. Проверьте три готовых EMV и самостоятельно оцените четвёртую реакцию. Сравните стоимость реакции с изменением</x:t>
  </x:si>
  <x:si>
    <x:t xml:space="preserve">ожидаемого последствия, сохраняя знак возможности.</x:t>
  </x:si>
  <x:si>
    <x:t xml:space="preserve">4. Для двух приоритетных событий задайте действие до события, триггер, действие после события, владельца и срок.</x:t>
  </x:si>
  <x:si>
    <x:t xml:space="preserve">5. Объясните ограничение резерва 0,25 млн ₽: это заданное учебное решение уполномоченного, а не арифметический</x:t>
  </x:si>
  <x:si>
    <x:t xml:space="preserve">результат суммы EMV. Назовите тяжёлый исход, для которого потребуется отдельная эскалация.</x:t>
  </x:si>
  <x:si>
    <x:t xml:space="preserve">□ Событие остаётся неопределённым на выбранную дату.</x:t>
  </x:si>
  <x:si>
    <x:t xml:space="preserve">□ Нет переименованных дублей ради числа строк.</x:t>
  </x:si>
  <x:si>
    <x:t xml:space="preserve">□ Денежные знаки и стоимость реакции учтены корректно.</x:t>
  </x:si>
  <x:si>
    <x:t xml:space="preserve">□ Триггер наблюдаем, а выбранный резерв не объявлен гарантией покрытия любого исхода.</x:t>
  </x:si>
  <x:si>
    <x:t xml:space="preserve">Переход: Вернитесь к 24 ноября в С11. Не переписывайте октябрьский реестр задним числом; добавьте запись об</x:t>
  </x:si>
  <x:si>
    <x:t xml:space="preserve">изменении статуса риска, если новое событие к нему относится.</x:t>
  </x:si>
  <x:si>
    <x:t xml:space="preserve">D10 · Четыре расчёта риска и две реакции</x:t>
  </x:si>
  <x:si>
    <x:t xml:space="preserve">Условия планирования на 1 октября. Денежные последствия — млн ₽ дополнительных затрат; вероятность от 0 до 1.</x:t>
  </x:si>
  <x:si>
    <x:t xml:space="preserve">Три первые строки сохраняют решённый пример. Четвёртая даёт самостоятельный перенос способа расчёта. Для двух</x:t>
  </x:si>
  <x:si>
    <x:t xml:space="preserve">добавленных командой качественных рисков точные вероятности не обязательны.</x:t>
  </x:si>
  <x:si>
    <x:t xml:space="preserve">Вероятности до и после реакции — учебные оценки. Их подтверждение потребовало бы экспертизы/данных; правильная</x:t>
  </x:si>
  <x:si>
    <x:t xml:space="preserve">формула не делает оценки достоверными.</x:t>
  </x:si>
  <x:si>
    <x:t xml:space="preserve">Реакция — расход, а не четвёртый риск. Резерв 0,25 млн ₽ задан отдельным решением куратора; остаточный риск</x:t>
  </x:si>
  <x:si>
    <x:t xml:space="preserve">инцидента с ущербом 1,5 требует особых ограничений/эскалации и не покрывается этим резервом полностью.</x:t>
  </x:si>
  <x:si>
    <x:t xml:space="preserve">Исходные события и смысл реакции</x:t>
  </x:si>
  <x:si>
    <x:t xml:space="preserve">Будущее событие</x:t>
  </x:si>
  <x:si>
    <x:t xml:space="preserve">Смысл реакции</x:t>
  </x:si>
  <x:si>
    <x:t xml:space="preserve">Совместная проверка обязательного SSO выявит несовместимость поздно</x:t>
  </x:si>
  <x:si>
    <x:t xml:space="preserve">Предварительный контрактный тест до основного окна.</x:t>
  </x:si>
  <x:si>
    <x:t xml:space="preserve">Возникнет инцидент с данными при эксплуатации</x:t>
  </x:si>
  <x:si>
    <x:t xml:space="preserve">Количественный эффект дополнительной реакции в этой строке не задан.</x:t>
  </x:si>
  <x:si>
    <x:t xml:space="preserve">Будет найден пригодный повторно используемый адаптер SSO</x:t>
  </x:si>
  <x:si>
    <x:t xml:space="preserve">Выгода при условии подтверждённой совместимости.</x:t>
  </x:si>
  <x:si>
    <x:t xml:space="preserve">Ключевой специалист будет недоступен в критичное окно</x:t>
  </x:si>
  <x:si>
    <x:t xml:space="preserve">Подготовить заменяющего специалиста и провести совместную проверку передачи.</x:t>
  </x:si>
  <x:si>
    <x:t xml:space="preserve">В первом столбце реестра дополните код своей цепочкой «причина → событие → цель». При длинном ответе увеличьте</x:t>
  </x:si>
  <x:si>
    <x:t xml:space="preserve">высоту строки.</x:t>
  </x:si>
  <x:si>
    <x:t xml:space="preserve">Самостоятельная строка R-BACKUP: в D32 введите формулу p до × последствие; в G32 — p после × последствие.</x:t>
  </x:si>
  <x:si>
    <x:t xml:space="preserve">EMV после — остаточный риск без цены реакции. Для решения сопоставьте EMV до с суммой остаточного EMV и цены</x:t>
  </x:si>
  <x:si>
    <x:t xml:space="preserve">реакции.</x:t>
  </x:si>
  <x:si>
    <x:t xml:space="preserve">Отрицательное последствие — возможность. EMV не равен заданному резерву; реакция не списывается из резерва</x:t>
  </x:si>
  <x:si>
    <x:t xml:space="preserve">автоматически.</x:t>
  </x:si>
  <x:si>
    <x:t xml:space="preserve">С11 · Диагноз состояния и два условных прогноза</x:t>
  </x:si>
  <x:si>
    <x:t xml:space="preserve">Разделить наблюдение, объяснение и последствия действия; вычислить прогноз из остаточной работы.</x:t>
  </x:si>
  <x:si>
    <x:t xml:space="preserve">Состояние: Основная задача: UniFlow 0.9, конец 24 ноября. Внешний обмен с реестром исключён 18 ноября; SSO остаётся. Дополнительно —</x:t>
  </x:si>
  <x:si>
    <x:t xml:space="preserve">отдельный короткий учебный пример пяти DORA для действующего сервиса.</x:t>
  </x:si>
  <x:si>
    <x:t xml:space="preserve">Задание: Краткий отчёт UniFlow и отдельный расчёт пяти DORA. Не нужен «светофор» без согласованного порога или прогноз всех пяти</x:t>
  </x:si>
  <x:si>
    <x:t xml:space="preserve">метрик по произвольным диапазонам.</x:t>
  </x:si>
  <x:si>
    <x:t xml:space="preserve">D11-U: SPI=0,86; CPI=0,81; время от принятия работы до готовности к проверке выросло с 6 до 11 рабочих дней; три критичных дефекта.</x:t>
  </x:si>
  <x:si>
    <x:t xml:space="preserve">Выборки и оценки остатка выданы полностью.</x:t>
  </x:si>
  <x:si>
    <x:t xml:space="preserve">D11-U time — показатель внутреннего процесса до запуска, а не DORA change lead time. Источник и правило расчёта фиксированы.</x:t>
  </x:si>
  <x:si>
    <x:t xml:space="preserve">D11-D: журнал условного уже работающего сервиса. Пять DORA считаются по production-событиям. Его числа не описывают состояние UniFlow</x:t>
  </x:si>
  <x:si>
    <x:t xml:space="preserve">и не используются для его прогноза.</x:t>
  </x:si>
  <x:si>
    <x:t xml:space="preserve">Прогнозы D11-U основаны на оценках специалистов. Их диапазоны — границы заданных сценариев, не статистический доверительный интервал.</x:t>
  </x:si>
  <x:si>
    <x:t xml:space="preserve">Факты и диагноз</x:t>
  </x:si>
  <x:si>
    <x:t xml:space="preserve">Факт и источник</x:t>
  </x:si>
  <x:si>
    <x:t xml:space="preserve">Что он не доказывает</x:t>
  </x:si>
  <x:si>
    <x:t xml:space="preserve">Различающая проверка</x:t>
  </x:si>
  <x:si>
    <x:t xml:space="preserve">SPI/CPI</x:t>
  </x:si>
  <x:si>
    <x:t xml:space="preserve">Время внутреннего процесса</x:t>
  </x:si>
  <x:si>
    <x:t xml:space="preserve">Критичные дефекты</x:t>
  </x:si>
  <x:si>
    <x:t xml:space="preserve">Изменение объёма 18.11</x:t>
  </x:si>
  <x:si>
    <x:t xml:space="preserve">Прогноз UniFlow</x:t>
  </x:si>
  <x:si>
    <x:t xml:space="preserve">Остаточная сеть</x:t>
  </x:si>
  <x:si>
    <x:t xml:space="preserve">Граница даты min / max</x:t>
  </x:si>
  <x:si>
    <x:t xml:space="preserve">Стоимость min / max</x:t>
  </x:si>
  <x:si>
    <x:t xml:space="preserve">Пересчёт</x:t>
  </x:si>
  <x:si>
    <x:t xml:space="preserve">Без действия</x:t>
  </x:si>
  <x:si>
    <x:t xml:space="preserve">Расчёт ниже ↓</x:t>
  </x:si>
  <x:si>
    <x:t xml:space="preserve">Фокус на завершении</x:t>
  </x:si>
  <x:si>
    <x:t xml:space="preserve">Срок решения</x:t>
  </x:si>
  <x:si>
    <x:t xml:space="preserve">Ожидаемый эффект</x:t>
  </x:si>
  <x:si>
    <x:t xml:space="preserve">Отдельный пример DORA</x:t>
  </x:si>
  <x:si>
    <x:t xml:space="preserve">Сырые значения</x:t>
  </x:si>
  <x:si>
    <x:t xml:space="preserve">Частота deployments</x:t>
  </x:si>
  <x:si>
    <x:t xml:space="preserve">Журнал ниже, строки 149–153</x:t>
  </x:si>
  <x:si>
    <x:t xml:space="preserve">Количество / дней окна × 7</x:t>
  </x:si>
  <x:si>
    <x:t xml:space="preserve">Commit→production</x:t>
  </x:si>
  <x:si>
    <x:t xml:space="preserve">Среднее commit → production</x:t>
  </x:si>
  <x:si>
    <x:t xml:space="preserve">Доля неудачных deployments</x:t>
  </x:si>
  <x:si>
    <x:t xml:space="preserve">Неудачные / все deployments</x:t>
  </x:si>
  <x:si>
    <x:t xml:space="preserve">Восстановление после неудачного deployment</x:t>
  </x:si>
  <x:si>
    <x:t xml:space="preserve">Среднее часов только неудачных</x:t>
  </x:si>
  <x:si>
    <x:t xml:space="preserve">Доля deployments из-за инцидентов</x:t>
  </x:si>
  <x:si>
    <x:t xml:space="preserve">Из-за инцидента / все deployments</x:t>
  </x:si>
  <x:si>
    <x:t xml:space="preserve">1. Выпишите четыре факта UniFlow с датой, источником и ограничением. По двум выборкам воспроизведите 6 и 11 дней и относительное</x:t>
  </x:si>
  <x:si>
    <x:t xml:space="preserve">изменение.</x:t>
  </x:si>
  <x:si>
    <x:t xml:space="preserve">2. Предложите основную и альтернативную причину. Для каждой укажите различающее свидетельство. Уже исключённая внешняя интеграция</x:t>
  </x:si>
  <x:si>
    <x:t xml:space="preserve">может объяснять часть прошлого ожидания, но не автоматически весь текущий остаток.</x:t>
  </x:si>
  <x:si>
    <x:t xml:space="preserve">3. Рассчитайте две границы даты и стоимости: без действия и при выделении команды на завершение текущей работы. Используйте заданные</x:t>
  </x:si>
  <x:si>
    <x:t xml:space="preserve">зависимости и не усредняйте границы до единственного обещания.</x:t>
  </x:si>
  <x:si>
    <x:t xml:space="preserve">4. Сформулируйте одно решение: действие, уполномоченный, срок ценности решения и момент пересчёта.</x:t>
  </x:si>
  <x:si>
    <x:t xml:space="preserve">5. В отдельном разделе рассчитайте пять DORA по D11-D и назовите одно ограничение интерпретации малой выборки. SPI, CPI и число</x:t>
  </x:si>
  <x:si>
    <x:t xml:space="preserve">дефектов в эти пять показателей не входят.</x:t>
  </x:si>
  <x:si>
    <x:t xml:space="preserve">□ Причинная гипотеза не скрыта внутри столбца фактов.</x:t>
  </x:si>
  <x:si>
    <x:t xml:space="preserve">□ 6→11 воспроизводится по одной единице и одинаковым правилам.</x:t>
  </x:si>
  <x:si>
    <x:t xml:space="preserve">□ Диапазоны даты и стоимости следуют из выданных оценок; сценарий действия имеет цену.</x:t>
  </x:si>
  <x:si>
    <x:t xml:space="preserve">□ Два набора данных и production / до запуска не смешаны.</x:t>
  </x:si>
  <x:si>
    <x:t xml:space="preserve">Переход: С12 выдаёт общий уточнённый остаточный план на утро 25 ноября. Он не утверждает, что все команды С11 выбрали и выполнили</x:t>
  </x:si>
  <x:si>
    <x:t xml:space="preserve">одинаковую рекомендацию.</x:t>
  </x:si>
  <x:si>
    <x:t xml:space="preserve">D11-U · Факты и основания прогноза UniFlow</x:t>
  </x:si>
  <x:si>
    <x:t xml:space="preserve">Конец 24 ноября. Суббота/воскресенье — выходные; гражданские праздники в учебном календаре не учитываются. Следующий рабочий день 25</x:t>
  </x:si>
  <x:si>
    <x:t xml:space="preserve">ноября.</x:t>
  </x:si>
  <x:si>
    <x:t xml:space="preserve">SPI=0,86 и CPI=0,81 предоставлены как рассчитанные показатели отчёта; исходный регистр PV/EV/AC для повторного EVM здесь не требуется.</x:t>
  </x:si>
  <x:si>
    <x:t xml:space="preserve">Три критичных дефекта открыты. Дополнительный внешний обмен исключён 18 ноября, SSO остаётся.</x:t>
  </x:si>
  <x:si>
    <x:t xml:space="preserve">Время прохождения здесь: рабочие дни от принятия работы командой до передачи на проверку; включается ожидание внутри процесса. Это не</x:t>
  </x:si>
  <x:si>
    <x:t xml:space="preserve">время commit→production и не DORA change lead time. Выборки включают только завершённые работы одного сопоставимого класса;</x:t>
  </x:si>
  <x:si>
    <x:t xml:space="preserve">незавершённые работы могут быть старше.</x:t>
  </x:si>
  <x:si>
    <x:t xml:space="preserve">Общий уточнённый объём после 18 ноября меньше прежнего. Поэтому приведённые ниже оценки остатка не являются арифметическим</x:t>
  </x:si>
  <x:si>
    <x:t xml:space="preserve">продолжением EAC 5,3–6,0 от 15 ноября. Это новые оценки специалистов на иной основе.</x:t>
  </x:si>
  <x:si>
    <x:t xml:space="preserve">В обоих сценариях техническое завершение R1 и эксплуатационная подготовка R2 идут параллельно разными ресурсами, затем нулевая веха M.</x:t>
  </x:si>
  <x:si>
    <x:t xml:space="preserve">Календарный выпуск не может состояться раньше доказанной готовности.</x:t>
  </x:si>
  <x:si>
    <x:t xml:space="preserve">Стоимость после действия уже включает 0,08 млн ₽ выделения/перестройки работы; второй раз прибавлять её нельзя. Неиспользованный</x:t>
  </x:si>
  <x:si>
    <x:t xml:space="preserve">резерв в оценки расходов не входит.</x:t>
  </x:si>
  <x:si>
    <x:t xml:space="preserve">D11-D · Пять DORA: отдельный учебный production-журнал</x:t>
  </x:si>
  <x:si>
    <x:t xml:space="preserve">Условный действующий сервис; одно 14-дневное окно. Этот пример не описывает ещё не запущенный UniFlow.</x:t>
  </x:si>
  <x:si>
    <x:t xml:space="preserve">Deployment — одно завершённое развёртывание в production. Неудачное требует немедленного вмешательства. Rework — незапланированное</x:t>
  </x:si>
  <x:si>
    <x:t xml:space="preserve">развёртывание вследствие production-инцидента; признак rework не означает автоматически, что само это развёртывание было неудачным.</x:t>
  </x:si>
  <x:si>
    <x:t xml:space="preserve">Change lead time измеряется от фиксации изменения в системе контроля версий до production. В этом примере каждое из пяти изменений</x:t>
  </x:si>
  <x:si>
    <x:t xml:space="preserve">имеет отдельное развёртывание; это условие учебного журнала, не обязательное устройство реальной поставки.</x:t>
  </x:si>
  <x:si>
    <x:t xml:space="preserve">Средние времени указаны как выбранные агрегаты именно этого упражнения. Не сравнивайте этот сервис с другой командой и не присваивайте</x:t>
  </x:si>
  <x:si>
    <x:t xml:space="preserve">цвет без порога и контекста. Пять событий — малая выборка.</x:t>
  </x:si>
  <x:si>
    <x:t xml:space="preserve">Определения сверены с DORA: https://dora.dev/guides/dora-metrics/ (обновление страницы 05.01.2026). SPI/CPI и число открытых дефектов</x:t>
  </x:si>
  <x:si>
    <x:t xml:space="preserve">— другие показатели.</x:t>
  </x:si>
  <x:si>
    <x:t xml:space="preserve">Допущения двух прогнозов</x:t>
  </x:si>
  <x:si>
    <x:t xml:space="preserve">Сохраняются наблюдаемые ожидания и текущая работа в нескольких направлениях.</x:t>
  </x:si>
  <x:si>
    <x:t xml:space="preserve">Выделить работу на завершение</x:t>
  </x:si>
  <x:si>
    <x:t xml:space="preserve">Команда прекращает начинать необязательные работы; технический руководитель подтверждает оценки. В ETC включены 0,08 млн ₽ реакции.</x:t>
  </x:si>
  <x:si>
    <x:t xml:space="preserve">UniFlow · состояние на конец 24.11.2026</x:t>
  </x:si>
  <x:si>
    <x:t xml:space="preserve">SPI (задан)</x:t>
  </x:si>
  <x:si>
    <x:t xml:space="preserve">CPI (задан)</x:t>
  </x:si>
  <x:si>
    <x:t xml:space="preserve">AC, млн ₽</x:t>
  </x:si>
  <x:si>
    <x:t xml:space="preserve">Внутренний процесс UniFlow · рабочие дни</x:t>
  </x:si>
  <x:si>
    <x:t xml:space="preserve">Ранее</x:t>
  </x:si>
  <x:si>
    <x:t xml:space="preserve">Позднее</x:t>
  </x:si>
  <x:si>
    <x:t xml:space="preserve">Среднее время внутреннего процесса</x:t>
  </x:si>
  <x:si>
    <x:t xml:space="preserve">Период</x:t>
  </x:si>
  <x:si>
    <x:t xml:space="preserve">Расчёт, рабочих дней</x:t>
  </x:si>
  <x:si>
    <x:t xml:space="preserve">UniFlow · остаток: R1 и R2 параллельно, M = 0</x:t>
  </x:si>
  <x:si>
    <x:t xml:space="preserve">R1 min</x:t>
  </x:si>
  <x:si>
    <x:t xml:space="preserve">R1 max</x:t>
  </x:si>
  <x:si>
    <x:t xml:space="preserve">R2 min</x:t>
  </x:si>
  <x:si>
    <x:t xml:space="preserve">R2 max</x:t>
  </x:si>
  <x:si>
    <x:t xml:space="preserve">UniFlow · остаточные затраты, млн ₽</x:t>
  </x:si>
  <x:si>
    <x:t xml:space="preserve">ETC min</x:t>
  </x:si>
  <x:si>
    <x:t xml:space="preserve">ETC max</x:t>
  </x:si>
  <x:si>
    <x:t xml:space="preserve">UniFlow · автоматический прогноз</x:t>
  </x:si>
  <x:si>
    <x:t xml:space="preserve">Дней min</x:t>
  </x:si>
  <x:si>
    <x:t xml:space="preserve">Дней max</x:t>
  </x:si>
  <x:si>
    <x:t xml:space="preserve">Дата min</x:t>
  </x:si>
  <x:si>
    <x:t xml:space="preserve">Дата max</x:t>
  </x:si>
  <x:si>
    <x:t xml:space="preserve">Стоимость min</x:t>
  </x:si>
  <x:si>
    <x:t xml:space="preserve">UniFlow · верхняя граница стоимости</x:t>
  </x:si>
  <x:si>
    <x:t xml:space="preserve">Стоимость max, млн ₽</x:t>
  </x:si>
  <x:si>
    <x:t xml:space="preserve">Срок начинается со следующего рабочего дня, 25 ноября. Пятидневная неделя без праздников. Реакция 0,08 уже включена в ETC сценария</x:t>
  </x:si>
  <x:si>
    <x:t xml:space="preserve">действия.</x:t>
  </x:si>
  <x:si>
    <x:t xml:space="preserve">DORA · отдельный существующий production-сервис</x:t>
  </x:si>
  <x:si>
    <x:t xml:space="preserve">Окно наблюдения, календарных дней</x:t>
  </x:si>
  <x:si>
    <x:t xml:space="preserve">DORA · сырые события одной системы</x:t>
  </x:si>
  <x:si>
    <x:t xml:space="preserve">Deployment</x:t>
  </x:si>
  <x:si>
    <x:t xml:space="preserve">День окна</x:t>
  </x:si>
  <x:si>
    <x:t xml:space="preserve">Commit → production, дней</x:t>
  </x:si>
  <x:si>
    <x:t xml:space="preserve">Неудачный: 1/0</x:t>
  </x:si>
  <x:si>
    <x:t xml:space="preserve">Восстановление, часов</x:t>
  </x:si>
  <x:si>
    <x:t xml:space="preserve">Из-за инцидента: 1/0</x:t>
  </x:si>
  <x:si>
    <x:t xml:space="preserve">DEP-1</x:t>
  </x:si>
  <x:si>
    <x:t xml:space="preserve">DEP-2</x:t>
  </x:si>
  <x:si>
    <x:t xml:space="preserve">DEP-3</x:t>
  </x:si>
  <x:si>
    <x:t xml:space="preserve">DEP-4</x:t>
  </x:si>
  <x:si>
    <x:t xml:space="preserve">DEP-5</x:t>
  </x:si>
  <x:si>
    <x:t xml:space="preserve">DORA не описывает UniFlow: 5 deployments, одно 14-дневное окно. Единицы: deployments/неделю; дни; доля; часы; доля.</x:t>
  </x:si>
  <x:si>
    <x:t xml:space="preserve">https://dora.dev/guides/dora-metrics/</x:t>
  </x:si>
  <x:si>
    <x:t xml:space="preserve">С12 · Изменение по остаточному плану</x:t>
  </x:si>
  <x:si>
    <x:t xml:space="preserve">Выбор карточки и вводные ↓</x:t>
  </x:si>
  <x:si>
    <x:t xml:space="preserve">Вычислить влияние одного запроса на срок и деньги, затем связать решение с конфигурацией и допуском.</x:t>
  </x:si>
  <x:si>
    <x:t xml:space="preserve">Состояние: Начало 25 ноября, версия 0.9. До начала пилота 1 декабря четыре рабочих дня: 25, 26, 27 и 30 ноября. Данные D12 заменяют</x:t>
  </x:si>
  <x:si>
    <x:t xml:space="preserve">для этого упражнения исходную сеть С06.</x:t>
  </x:si>
  <x:si>
    <x:t xml:space="preserve">Задание: Одна полностью разобранная карточка, два варианта и согласованная запись решения. Заполнять воздействия всех шести карточек</x:t>
  </x:si>
  <x:si>
    <x:t xml:space="preserve">каждой команде не требуется.</x:t>
  </x:si>
  <x:si>
    <x:t xml:space="preserve">D12: остаточная сеть R1=4 и R2=3 параллельно; M — нулевая веха допуска после обеих. Разные ресурсы доступны; базовая готовность —</x:t>
  </x:si>
  <x:si>
    <x:t xml:space="preserve">конец 30 ноября. Эти идентификаторы не связаны с A–D из С06.</x:t>
  </x:si>
  <x:si>
    <x:t xml:space="preserve">AC=4,10; оценка оставшихся обязательных работ=0,45; прогноз=4,55; неиспользованный резерв=0,25 млн ₽ в пределах BAC=4,80. Резерв не</x:t>
  </x:si>
  <x:si>
    <x:t xml:space="preserve">прибавляется к BAC.</x:t>
  </x:si>
  <x:si>
    <x:t xml:space="preserve">Одна карточка A–F назначается по номеру команды: ((номер−1) mod 6)+1. Если номер ещё не подтверждён, преподаватель назначает карточку</x:t>
  </x:si>
  <x:si>
    <x:t xml:space="preserve">и пишет её букву; работа не блокируется.</x:t>
  </x:si>
  <x:si>
    <x:t xml:space="preserve">Карточки независимы: нельзя автоматически использовать возможность D при решении карточки A. Для сравнения разрешено назвать такой</x:t>
  </x:si>
  <x:si>
    <x:t xml:space="preserve">дополнительный запрос, но его доступность не задана.</x:t>
  </x:si>
  <x:si>
    <x:t xml:space="preserve">Воздействие карточки</x:t>
  </x:si>
  <x:si>
    <x:t xml:space="preserve">Карточка</x:t>
  </x:si>
  <x:si>
    <x:t xml:space="preserve">Тип</x:t>
  </x:si>
  <x:si>
    <x:t xml:space="preserve">Срок и основание</x:t>
  </x:si>
  <x:si>
    <x:t xml:space="preserve">Стоимость и резерв</x:t>
  </x:si>
  <x:si>
    <x:t xml:space="preserve">Качество / риск</x:t>
  </x:si>
  <x:si>
    <x:t xml:space="preserve">Статус</x:t>
  </x:si>
  <x:si>
    <x:t xml:space="preserve">Владелец действия</x:t>
  </x:si>
  <x:si>
    <x:t xml:space="preserve">Новый план</x:t>
  </x:si>
  <x:si>
    <x:t xml:space="preserve">Остаток</x:t>
  </x:si>
  <x:si>
    <x:t xml:space="preserve">Ресурс</x:t>
  </x:si>
  <x:si>
    <x:t xml:space="preserve">Граница завершения</x:t>
  </x:si>
  <x:si>
    <x:t xml:space="preserve">R1</x:t>
  </x:si>
  <x:si>
    <x:t xml:space="preserve">R2</x:t>
  </x:si>
  <x:si>
    <x:t xml:space="preserve">M</x:t>
  </x:si>
  <x:si>
    <x:t xml:space="preserve">Добавленная работа</x:t>
  </x:si>
  <x:si>
    <x:t xml:space="preserve">Другая затронутая работа</x:t>
  </x:si>
  <x:si>
    <x:t xml:space="preserve">Выпуск и связи</x:t>
  </x:si>
  <x:si>
    <x:t xml:space="preserve">Затронутая основа / единица</x:t>
  </x:si>
  <x:si>
    <x:t xml:space="preserve">Что изменено</x:t>
  </x:si>
  <x:si>
    <x:t xml:space="preserve">Версия</x:t>
  </x:si>
  <x:si>
    <x:t xml:space="preserve">Доказательство / проверка</x:t>
  </x:si>
  <x:si>
    <x:t xml:space="preserve">Откат / владелец</x:t>
  </x:si>
  <x:si>
    <x:t xml:space="preserve">Содержание</x:t>
  </x:si>
  <x:si>
    <x:t xml:space="preserve">Расписание и ресурсы</x:t>
  </x:si>
  <x:si>
    <x:t xml:space="preserve">Деньги и резерв</x:t>
  </x:si>
  <x:si>
    <x:t xml:space="preserve">Качество / риски / полномочия</x:t>
  </x:si>
  <x:si>
    <x:t xml:space="preserve">Состав версии и откат</x:t>
  </x:si>
  <x:si>
    <x:t xml:space="preserve">1. Прочитайте свою карточку и классифицируйте событие: запрос, обязательное изменение, проблема, реализованный риск или возможность.</x:t>
  </x:si>
  <x:si>
    <x:t xml:space="preserve">Классификация может содержать два уровня, если вы их объясняете.</x:t>
  </x:si>
  <x:si>
    <x:t xml:space="preserve">2. Рассчитайте новый срок, календарную границу готовности, прогноз затрат и оставшийся резерв или дефицит. Для карточки C сначала</x:t>
  </x:si>
  <x:si>
    <x:t xml:space="preserve">проверьте, входит ли затронутая работа в текущий выпуск.</x:t>
  </x:si>
  <x:si>
    <x:t xml:space="preserve">3. Рассмотрите два допустимых варианта. Нельзя отклонить обязательное требование безопасности только ради даты; можно изменить дату</x:t>
  </x:si>
  <x:si>
    <x:t xml:space="preserve">или ограничить выпуск при разрешении соответствующей стороны.</x:t>
  </x:si>
  <x:si>
    <x:t xml:space="preserve">4. Запишите решение, уполномоченного и последствия. При недостатке денег запросите решение куратора; арифметическое уменьшение BAC не</x:t>
  </x:si>
  <x:si>
    <x:t xml:space="preserve">уменьшает уже понесённые расходы.</x:t>
  </x:si>
  <x:si>
    <x:t xml:space="preserve">5. Обновите затронутые разделы: содержание; остаточный план; бюджет/резерв; риски и критерии; конфигурация. Назовите версию</x:t>
  </x:si>
  <x:si>
    <x:t xml:space="preserve">планируемого выпуска, доказательства по ней, условие отката, ответственного и совместимую цель возврата. Не пишите «откат на 0.9» без</x:t>
  </x:si>
  <x:si>
    <x:t xml:space="preserve">проверки её пригодности.</x:t>
  </x:si>
  <x:si>
    <x:t xml:space="preserve">□ Расчёт использует остаточные длительности, а не исходные 21 день С06.</x:t>
  </x:si>
  <x:si>
    <x:t xml:space="preserve">□ Исключённая зависимость не возвращена в выпуск незаметно.</x:t>
  </x:si>
  <x:si>
    <x:t xml:space="preserve">□ Ускорение одной работы не равно такому же ускорению проекта; проверен новый критический путь.</x:t>
  </x:si>
  <x:si>
    <x:t xml:space="preserve">□ Бюджет, прогноз и резерв различены; решение меняет связанные основы.</x:t>
  </x:si>
  <x:si>
    <x:t xml:space="preserve">□ Планируемые доказательства не представлены как уже полученные.</x:t>
  </x:si>
  <x:si>
    <x:t xml:space="preserve">Переход: Сохраните исходную базу и сценарий команды отдельно. В С13 рецензируется связность вашего пакета; иная карточка другой</x:t>
  </x:si>
  <x:si>
    <x:t xml:space="preserve">команды не делает её даты ошибочными.</x:t>
  </x:si>
  <x:si>
    <x:t xml:space="preserve">D12 · Остаточный план и шесть независимых изменений</x:t>
  </x:si>
  <x:si>
    <x:t xml:space="preserve">Начало 25 ноября. Дни 25,26,27,30 ноября — четыре рабочих дня до начала пилота 1 декабря. Выходные 28–29 ноября. Далее 1–4 декабря</x:t>
  </x:si>
  <x:si>
    <x:t xml:space="preserve">рабочие; гражданские праздники в этой модели не учитываются.</x:t>
  </x:si>
  <x:si>
    <x:t xml:space="preserve">Остаточные работы R1/R2/M — отдельная модель, не новые названия исходных A–D из С06. Полный первоначальный цикл безопасности уже шёл</x:t>
  </x:si>
  <x:si>
    <x:t xml:space="preserve">ранее; ниже только оставшиеся работы и дополнительные проверки.</x:t>
  </x:si>
  <x:si>
    <x:t xml:space="preserve">AC=4,10; ETC обязательных оставшихся работ=0,45; прогноз расходов=4,55 млн ₽. BAC=4,80 включает неиспользованный резерв 0,25. Дельта</x:t>
  </x:si>
  <x:si>
    <x:t xml:space="preserve">карточки прибавляется к ETC, если карточка принята; перенос даты сам по себе не добавляет иных расходов в упрощённой модели.</x:t>
  </x:si>
  <x:si>
    <x:t xml:space="preserve">Дата готовности — конец вычисленного рабочего дня. Готовность в конце 30 ноября позволяет начать пилот 1 декабря. Готовность позже</x:t>
  </x:si>
  <x:si>
    <x:t xml:space="preserve">требует решения об изменении даты.</x:t>
  </x:si>
  <x:si>
    <x:t xml:space="preserve">До получения новой версии и результатов проверок выпуск остаётся планируемым. M — решение уполномоченной стороны с нулевой</x:t>
  </x:si>
  <x:si>
    <x:t xml:space="preserve">длительностью; дополнительные тесты являются отдельной работой, а не «длительностью решения».</x:t>
  </x:si>
  <x:si>
    <x:t xml:space="preserve">Результаты и ресурсы остаточного плана</x:t>
  </x:si>
  <x:si>
    <x:t xml:space="preserve">Финальная сборка и закрытие согласованных технических замечаний</x:t>
  </x:si>
  <x:si>
    <x:t xml:space="preserve">Техническая группа</x:t>
  </x:si>
  <x:si>
    <x:t xml:space="preserve">Проверенное восстановление и обученная поддержка</x:t>
  </x:si>
  <x:si>
    <x:t xml:space="preserve">Эксплуатационная группа</x:t>
  </x:si>
  <x:si>
    <x:t xml:space="preserve">Решение о допуске по доказательствам</x:t>
  </x:si>
  <x:si>
    <x:t xml:space="preserve">Эксплуатация с заключением ИБ</x:t>
  </x:si>
  <x:si>
    <x:t xml:space="preserve">Условия карточек и полномочия</x:t>
  </x:si>
  <x:si>
    <x:t xml:space="preserve">Буква</x:t>
  </x:si>
  <x:si>
    <x:t xml:space="preserve">Новая информация</x:t>
  </x:si>
  <x:si>
    <x:t xml:space="preserve">Уточнение полномочий</x:t>
  </x:si>
  <x:si>
    <x:t xml:space="preserve">Обязательное дополнительное требование безопасности</x:t>
  </x:si>
  <x:si>
    <x:t xml:space="preserve">ИБ подтверждает обязательность и доказательства; куратор решает влияние на базовую дату/финансирование; эксплуатация допускает.</x:t>
  </x:si>
  <x:si>
    <x:t xml:space="preserve">Предложен дополнительный отчёт к пилоту</x:t>
  </x:si>
  <x:si>
    <x:t xml:space="preserve">Владелец продукта определяет приоритет; выход за авторизованные границы и дату требует куратора.</x:t>
  </x:si>
  <x:si>
    <x:t xml:space="preserve">Поставщик сообщил задержку внешнего обмена с реестром на 5 дней</x:t>
  </x:si>
  <x:si>
    <x:t xml:space="preserve">РП проверяет договорное основание и эскалирует изменение прогноза куратору. Вернуть обмен в пилот можно только отдельным изменением с объёмом.</x:t>
  </x:si>
  <x:si>
    <x:t xml:space="preserve">Подтверждён второй инженер для R1</x:t>
  </x:si>
  <x:si>
    <x:t xml:space="preserve">РП готовит использование ресурса; расход резерва одобряется уполномоченным куратором.</x:t>
  </x:si>
  <x:si>
    <x:t xml:space="preserve">E</x:t>
  </x:si>
  <x:si>
    <x:t xml:space="preserve">Найден дополнительный критичный дефект выпуска</x:t>
  </x:si>
  <x:si>
    <x:t xml:space="preserve">Техлид организует исправление; ИБ/эксплуатация подтверждают критерий; куратор решает изменение базовой даты.</x:t>
  </x:si>
  <x:si>
    <x:t xml:space="preserve">F</x:t>
  </x:si>
  <x:si>
    <x:t xml:space="preserve">Подтверждён новый предел финансирования: минус 8% от BAC</x:t>
  </x:si>
  <x:si>
    <x:t xml:space="preserve">Куратор должен решить дефицит финансирования / пересмотреть авторизацию; команда представляет сценарий.</x:t>
  </x:si>
  <x:si>
    <x:t xml:space="preserve">Назначенная карточка · одна на команду</x:t>
  </x:si>
  <x:si>
    <x:t xml:space="preserve">Номер команды (с листа Начало)</x:t>
  </x:si>
  <x:si>
    <x:t xml:space="preserve">Буква преподавателя, если номера нет</x:t>
  </x:si>
  <x:si>
    <x:t xml:space="preserve">Применяемая карточка</x:t>
  </x:si>
  <x:si>
    <x:t xml:space="preserve">Базовые вводные · R1/R2 параллельно, M = 0</x:t>
  </x:si>
  <x:si>
    <x:t xml:space="preserve">R1, рабочих дней</x:t>
  </x:si>
  <x:si>
    <x:t xml:space="preserve">R2, рабочих дней</x:t>
  </x:si>
  <x:si>
    <x:t xml:space="preserve">ETC, млн ₽</x:t>
  </x:si>
  <x:si>
    <x:t xml:space="preserve">BAC, млн ₽</x:t>
  </x:si>
  <x:si>
    <x:t xml:space="preserve">Резерв внутри BAC, млн ₽</x:t>
  </x:si>
  <x:si>
    <x:t xml:space="preserve">Карточки · числовые изменения (применяется одна)</x:t>
  </x:si>
  <x:si>
    <x:t xml:space="preserve">Доп. работа, дней</x:t>
  </x:si>
  <x:si>
    <x:t xml:space="preserve">Изменение затрат, млн ₽</x:t>
  </x:si>
  <x:si>
    <x:t xml:space="preserve">Новый R1, дней</x:t>
  </x:si>
  <x:si>
    <x:t xml:space="preserve">Множитель BAC</x:t>
  </x:si>
  <x:si>
    <x:t xml:space="preserve">A: QA после R1 и R2; B: RB после R1; C: внешняя работа уже исключена 18.11, задержка 5 дней не добавляется.</x:t>
  </x:si>
  <x:si>
    <x:t xml:space="preserve">D: новый R1 включает передачу; E: QE после R1 и R2; F: меняется только BAC, AC и ETC не уменьшаются.</x:t>
  </x:si>
  <x:si>
    <x:t xml:space="preserve">Проверка выбранной карточки · расчёт до управленческого решения</x:t>
  </x:si>
  <x:si>
    <x:t xml:space="preserve">Расчёт</x:t>
  </x:si>
  <x:si>
    <x:t xml:space="preserve">Техническое завершение, рабочих дней</x:t>
  </x:si>
  <x:si>
    <x:t xml:space="preserve">Дата технического завершения</x:t>
  </x:si>
  <x:si>
    <x:t xml:space="preserve">Прогноз затрат, млн ₽</x:t>
  </x:si>
  <x:si>
    <x:t xml:space="preserve">Лимит BAC после изменения, млн ₽</x:t>
  </x:si>
  <x:si>
    <x:t xml:space="preserve">Остаток резерва после дополнительных затрат, млн ₽</x:t>
  </x:si>
  <x:si>
    <x:t xml:space="preserve">Превышение лимита, млн ₽</x:t>
  </x:si>
  <x:si>
    <x:t xml:space="preserve">Исходный резерв рассчитывается как BAC − AC − ETC. Отрицательное значение означает дефицит исходной базы.</x:t>
  </x:si>
  <x:si>
    <x:t xml:space="preserve">Для F остаток резерва не пересчитывается автоматически: новое финансирование требует отдельного решения. Техническая дата не означает</x:t>
  </x:si>
  <x:si>
    <x:t xml:space="preserve">допуск.</x:t>
  </x:si>
  <x:si>
    <x:t xml:space="preserve">Начало 25.11.2026; пятидневная неделя без праздников. A–D из сети С06 здесь не используются.</x:t>
  </x:si>
  <x:si>
    <x:t xml:space="preserve">С13 · Проверка пакета и решение о завершении</x:t>
  </x:si>
  <x:si>
    <x:t xml:space="preserve">Отделить рецензию коллег от приёмки результата и передачи ответственности.</x:t>
  </x:si>
  <x:si>
    <x:t xml:space="preserve">Состояние: Две части: взаимная проверка собственных пакетов команд; затем общая бумажная контрольная точка D13 на 1 декабря, версия</x:t>
  </x:si>
  <x:si>
    <x:t xml:space="preserve">1.0. Этот общий набор свидетельств не является автоматическим результатом вашей карточки С12.</x:t>
  </x:si>
  <x:si>
    <x:t xml:space="preserve">Задание: Один входящий отзыв и ответ в книге каждой команды; рецензент указан. Отдельно три решения по D13. Общий подписываемый</x:t>
  </x:si>
  <x:si>
    <x:t xml:space="preserve">обеими командами протокол не требуется.</x:t>
  </x:si>
  <x:si>
    <x:t xml:space="preserve">Для рецензии нужны версии работ С01–С12, исходная буква карточки С12 и собственные решения. При неполноте пакета это фиксируется как</x:t>
  </x:si>
  <x:si>
    <x:t xml:space="preserve">ограничение проверки.</x:t>
  </x:si>
  <x:si>
    <x:t xml:space="preserve">Шесть направлений проверки: смысл и полномочия; содержание и расписание; ресурсы и деньги; качество и риски; контроль и изменения;</x:t>
  </x:si>
  <x:si>
    <x:t xml:space="preserve">согласованность версий и ссылок.</x:t>
  </x:si>
  <x:si>
    <x:t xml:space="preserve">D13 содержит свидетельства общей версии 1.0 для отдельной рекомендации куратору. Рецензент-студент не уполномочен подписывать приёмку</x:t>
  </x:si>
  <x:si>
    <x:t xml:space="preserve">вымышленного проекта вместо куратора.</x:t>
  </x:si>
  <x:si>
    <x:t xml:space="preserve">Входящая рецензия</x:t>
  </x:si>
  <x:si>
    <x:t xml:space="preserve">Направление</x:t>
  </x:si>
  <x:si>
    <x:t xml:space="preserve">Проверенное место / версия</x:t>
  </x:si>
  <x:si>
    <x:t xml:space="preserve">Вывод / замечание</x:t>
  </x:si>
  <x:si>
    <x:t xml:space="preserve">Смысл и полномочия</x:t>
  </x:si>
  <x:si>
    <x:t xml:space="preserve">Содержание и расписание</x:t>
  </x:si>
  <x:si>
    <x:t xml:space="preserve">Ресурсы и деньги</x:t>
  </x:si>
  <x:si>
    <x:t xml:space="preserve">Качество и риски</x:t>
  </x:si>
  <x:si>
    <x:t xml:space="preserve">Контроль и изменения</x:t>
  </x:si>
  <x:si>
    <x:t xml:space="preserve">Версии и ссылки</x:t>
  </x:si>
  <x:si>
    <x:t xml:space="preserve">Ответ автора и исправления</x:t>
  </x:si>
  <x:si>
    <x:t xml:space="preserve">Замечание</x:t>
  </x:si>
  <x:si>
    <x:t xml:space="preserve">Приоритет</x:t>
  </x:si>
  <x:si>
    <x:t xml:space="preserve">Общая контрольная точка D13</x:t>
  </x:si>
  <x:si>
    <x:t xml:space="preserve">Решение: приёмка / передача / закрытие</x:t>
  </x:si>
  <x:si>
    <x:t xml:space="preserve">Свидетельство</x:t>
  </x:si>
  <x:si>
    <x:t xml:space="preserve">Остаточное обязательство</x:t>
  </x:si>
  <x:si>
    <x:t xml:space="preserve">Владелец и проверка</x:t>
  </x:si>
  <x:si>
    <x:t xml:space="preserve">Приёмка P06</x:t>
  </x:si>
  <x:si>
    <x:t xml:space="preserve">Допуск / передача P04</x:t>
  </x:si>
  <x:si>
    <x:t xml:space="preserve">Закрытие проекта</x:t>
  </x:si>
  <x:si>
    <x:t xml:space="preserve">1. Обменяйтесь пакетами в назначенной паре. При нечётном числе команд последняя тройка работает по кругу A→B→C→A: у каждой команды</x:t>
  </x:si>
  <x:si>
    <x:t xml:space="preserve">один входящий и один исходящий отзыв.</x:t>
  </x:si>
  <x:si>
    <x:t xml:space="preserve">2. За 25 минут проверьте шесть направлений. Для замечания укажите конкретное место, несоответствие, последствие для решения и</x:t>
  </x:si>
  <x:si>
    <x:t xml:space="preserve">предложенное исправление. Если замечаний по направлению нет, укажите проверенное свидетельство.</x:t>
  </x:si>
  <x:si>
    <x:t xml:space="preserve">3. Уточните замечания с авторами. Каждый автор фиксирует ответ: принять; принять частично; не принять с обоснованием; запросить</x:t>
  </x:si>
  <x:si>
    <x:t xml:space="preserve">уточнение.</x:t>
  </x:si>
  <x:si>
    <x:t xml:space="preserve">4. Выберите до трёх приоритетных исправлений. Если существенных замечаний меньше, не придумывайте недостающие. Укажите владельца и</x:t>
  </x:si>
  <x:si>
    <x:t xml:space="preserve">срок только для реально выбранных исправлений.</x:t>
  </x:si>
  <x:si>
    <x:t xml:space="preserve">5. По D13 отдельно подготовьте рекомендацию о приёмке, передаче в эксплуатацию и закрытии проекта. Назовите, кто принимает каждое</x:t>
  </x:si>
  <x:si>
    <x:t xml:space="preserve">решение, какие обязательства остаются и кто измерит выгоды после пилота.</x:t>
  </x:si>
  <x:si>
    <x:t xml:space="preserve">6. После общего разбора самостоятельно выполните выданный вариант индивидуальной проверки за 12 минут. Этот ответ сдаёт каждый</x:t>
  </x:si>
  <x:si>
    <x:t xml:space="preserve">участник отдельно; он не включается в командную взаимную проверку.</x:t>
  </x:si>
  <x:si>
    <x:t xml:space="preserve">□ Замечание опирается на конкретное свидетельство, а не на отличие от решения рецензента.</x:t>
  </x:si>
  <x:si>
    <x:t xml:space="preserve">□ Нет требования найти ровно три дефекта.</x:t>
  </x:si>
  <x:si>
    <x:t xml:space="preserve">□ Приёмка, эксплуатационный допуск и закрытие различены по основаниям и полномочиям.</x:t>
  </x:si>
  <x:si>
    <x:t xml:space="preserve">□ Недостигнутые ещё выгоды имеют владельца и будущий замер; их достижение не выдумано.</x:t>
  </x:si>
  <x:si>
    <x:t xml:space="preserve">Переход: В итоговом пакете остаются собственные решения, замечания и ответ на них. Учебный результат — способность обосновать решение</x:t>
  </x:si>
  <x:si>
    <x:t xml:space="preserve">по данным, а не совпадение всех пакетов.</x:t>
  </x:si>
  <x:si>
    <x:t xml:space="preserve">D13 · Общие свидетельства для решения о завершении</x:t>
  </x:si>
  <x:si>
    <x:t xml:space="preserve">Отдельная общая учебная контрольная точка 1 декабря, UniFlow 1.0. Она не отменяет исторические решения команд и не доказывает</x:t>
  </x:si>
  <x:si>
    <x:t xml:space="preserve">исполнение каждой ветки С12.</x:t>
  </x:si>
  <x:si>
    <x:t xml:space="preserve">Данные по реальным работам студентов в эту вводную не добавляются. Рецензия их пакета и рекомендация по этой контрольной точке — два</x:t>
  </x:si>
  <x:si>
    <x:t xml:space="preserve">разных результата.</x:t>
  </x:si>
  <x:si>
    <x:t xml:space="preserve">Выгоды для процесса ещё не измерены после пилота. Пороги M01–M04 остаются целями на срез 28 декабря; сам факт допуска 1 декабря не</x:t>
  </x:si>
  <x:si>
    <x:t xml:space="preserve">подтверждает их достижение.</x:t>
  </x:si>
  <x:si>
    <x:t xml:space="preserve">Для рекомендации используйте права из С02: приёмка результата P06 — куратор; допуск P04 / передача — эксплуатация; риск ИБ P05 — ИБ.</x:t>
  </x:si>
  <x:si>
    <x:t xml:space="preserve">Для этой вводной дополнительно установлено: закрытие проекта подтверждает куратор после передачи остаточных обязательств.</x:t>
  </x:si>
  <x:si>
    <x:t xml:space="preserve">Свидетельства</x:t>
  </x:si>
  <x:si>
    <x:t xml:space="preserve">Версия / дата</x:t>
  </x:si>
  <x:si>
    <x:t xml:space="preserve">ACC-10</x:t>
  </x:si>
  <x:si>
    <x:t xml:space="preserve">1.0; 30.11</x:t>
  </x:si>
  <x:si>
    <x:t xml:space="preserve">100 обязательных проверок выполнены успешно; критичных дефектов в реестре нет; протокол соответствует составу этой сборки.</x:t>
  </x:si>
  <x:si>
    <x:t xml:space="preserve">Это обязательные проверки, а не полная гарантия всех возможных сценариев.</x:t>
  </x:si>
  <x:si>
    <x:t xml:space="preserve">SEC-10</x:t>
  </x:si>
  <x:si>
    <x:t xml:space="preserve">ИБ подтвердила матрицу доступа, SSO и отсутствие известных критичных нарушений в проверенных сценариях.</x:t>
  </x:si>
  <x:si>
    <x:t xml:space="preserve">Новые изменения прав потребуют анализа и повторных проверок.</x:t>
  </x:si>
  <x:si>
    <x:t xml:space="preserve">OPS-10</x:t>
  </x:si>
  <x:si>
    <x:t xml:space="preserve">Восстановление согласованного тестового набора заняло 42 минуты; контроль полноты успешен; дежурство и ответственные назначены; 6 администраторов прошли обучение.</x:t>
  </x:si>
  <x:si>
    <x:t xml:space="preserve">Подтверждается выданный сценарий восстановления.</x:t>
  </x:si>
  <x:si>
    <x:t xml:space="preserve">DEF-10</x:t>
  </x:si>
  <x:si>
    <x:t xml:space="preserve">Остаётся некритичный косметический дефект подписи. Владелец — техлид; исправление до 8 декабря принято в план сопровождения с согласованным ресурсом.</x:t>
  </x:si>
  <x:si>
    <x:t xml:space="preserve">Куратор должен явно рассмотреть это отклонение при приёмке; скрывать его нельзя.</x:t>
  </x:si>
  <x:si>
    <x:t xml:space="preserve">CLOSE-10</x:t>
  </x:si>
  <x:si>
    <x:t xml:space="preserve">1 декабря</x:t>
  </x:si>
  <x:si>
    <x:t xml:space="preserve">Обязательные документы и права доступа переданы эксплуатации по акту; расчёты по контрактам сверены; остаточное исправление и план замеров выгод переданы владельцам.</x:t>
  </x:si>
  <x:si>
    <x:t xml:space="preserve">Передачи документов недостаточно без решения уполномоченной стороны.</x:t>
  </x:si>
  <x:si>
    <x:t xml:space="preserve">BEN-10</x:t>
  </x:si>
  <x:si>
    <x:t xml:space="preserve">Владелец продукта принял измерение M01/M04, координатор — M02/M03 на 28 декабря. Значений за период пилота пока нет.</x:t>
  </x:si>
  <x:si>
    <x:t xml:space="preserve">Недопустимо писать «выгоды достигнуты» или подставлять целевые значения как факт.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</x:si>
</x:sst>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yyyy-mm-dd"/>
    <x:numFmt numFmtId="166" formatCode="0.000"/>
  </x:numFmts>
  <x:fonts count="12">
    <x:font>
      <x:sz val="11"/>
      <x:color rgb="FF000000"/>
      <x:name val="Carlito"/>
    </x:font>
    <x:font>
      <x:b/>
      <x:sz val="16"/>
      <x:color rgb="FF20374D"/>
      <x:name val="Arial"/>
    </x:font>
    <x:font>
      <x:sz val="11"/>
      <x:color rgb="FF20374D"/>
      <x:name val="Arial"/>
    </x:font>
    <x:font>
      <x:b/>
      <x:sz val="11"/>
      <x:color rgb="FFFFFFFF"/>
      <x:name val="Arial"/>
    </x:font>
    <x:font>
      <x:b/>
      <x:sz val="11"/>
      <x:color rgb="FF20374D"/>
      <x:name val="Arial"/>
    </x:font>
    <x:font>
      <x:sz val="11"/>
      <x:color rgb="FF1C5D90"/>
      <x:name val="Arial"/>
    </x:font>
    <x:font>
      <x:sz val="11"/>
      <x:color rgb="FF1C5D90"/>
      <x:name val="Arial"/>
    </x:font>
    <x:font>
      <x:sz val="11"/>
      <x:color rgb="FF1C5D90"/>
      <x:name val="Arial"/>
    </x:font>
    <x:font>
      <x:color theme="1"/>
      <x:name val="Carlito"/>
    </x:font>
    <x:font>
      <x:b/>
      <x:color theme="1"/>
      <x:name val="Carlito"/>
    </x:font>
    <x:font>
      <x:sz val="11"/>
      <x:color rgb="FFFFFFFF"/>
      <x:name val="AktivGrotesk"/>
    </x:font>
    <x:font>
      <x:b/>
      <x:sz val="11"/>
      <x:color rgb="FF1C5D90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244761"/>
      </x:patternFill>
    </x:fill>
    <x:fill>
      <x:patternFill patternType="solid">
        <x:fgColor rgb="FFEDF3F6"/>
      </x:patternFill>
    </x:fill>
    <x:fill>
      <x:patternFill patternType="solid">
        <x:fgColor rgb="FFFFFFFF"/>
      </x:patternFill>
    </x:fill>
    <x:fill>
      <x:patternFill patternType="solid">
        <x:fgColor rgb="FFFFF6D8"/>
      </x:patternFill>
    </x:fill>
    <x:fill>
      <x:patternFill patternType="solid">
        <x:fgColor rgb="FF0072BC"/>
      </x:patternFill>
    </x:fill>
  </x:fills>
  <x:borders count="2">
    <x:border/>
    <x:border>
      <x:bottom style="thin">
        <x:color rgb="FFCDD8E0"/>
      </x:bottom>
    </x:border>
  </x:borders>
  <x:cellStyleXfs count="1">
    <x:xf numFmtId="0" fontId="0" fillId="0" borderId="0" applyFont="1" applyAlignment="1"/>
  </x:cellStyleXfs>
  <x:cellXfs count="43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top" wrapText="0"/>
    </x:xf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0"/>
    </x:xf>
    <x:xf numFmtId="0" fontId="3" fillId="2" borderId="0" xfId="0" applyFont="1" applyFill="1" applyAlignment="1">
      <x:alignment vertical="top" wrapText="0"/>
    </x:xf>
    <x:xf numFmtId="0" fontId="4" fillId="3" borderId="1" xfId="0" applyFont="1" applyFill="1" applyBorder="1" applyAlignment="1">
      <x:alignment vertical="top" wrapText="1"/>
    </x:xf>
    <x:xf numFmtId="0" fontId="5" fillId="4" borderId="0" xfId="0" applyFont="1" applyFill="1" applyAlignment="1">
      <x:alignment vertical="top"/>
    </x:xf>
    <x:xf numFmtId="0" fontId="4" fillId="0" borderId="1" xfId="0" applyFont="1" applyBorder="1" applyAlignment="1">
      <x:alignment vertical="top" wrapText="1"/>
    </x:xf>
    <x:xf numFmtId="0" fontId="6" fillId="5" borderId="1" xfId="0" applyFont="1" applyFill="1" applyBorder="1" applyAlignment="1">
      <x:alignment vertical="top" wrapText="1"/>
    </x:xf>
    <x:xf numFmtId="1" fontId="6" fillId="5" borderId="1" xfId="0" applyNumberFormat="1" applyFont="1" applyFill="1" applyBorder="1" applyAlignment="1">
      <x:alignment vertical="top" wrapText="1"/>
    </x:xf>
    <x:xf numFmtId="0" fontId="4" fillId="0" borderId="0" xfId="0" applyFont="1" applyAlignment="1">
      <x:alignment vertical="top" wrapText="0"/>
    </x:xf>
    <x:xf numFmtId="0" fontId="2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2" fillId="0" borderId="0" xfId="0" applyFont="1" applyAlignment="1">
      <x:alignment vertical="top" wrapText="0"/>
    </x:xf>
    <x:xf numFmtId="0" fontId="7" fillId="4" borderId="1" xfId="0" applyFont="1" applyFill="1" applyBorder="1" applyAlignment="1">
      <x:alignment vertical="top" wrapText="1"/>
    </x:xf>
    <x:xf numFmtId="0" fontId="2" fillId="0" borderId="1" xfId="0" applyFont="1" applyBorder="1" applyAlignment="1">
      <x:alignment vertical="top" wrapText="1"/>
    </x:xf>
    <x:xf numFmtId="0" fontId="6" fillId="5" borderId="1" xfId="0" applyFont="1" applyFill="1" applyBorder="1" applyAlignment="1">
      <x:alignment vertical="top" wrapText="1"/>
    </x:xf>
    <x:xf numFmtId="0" fontId="8" fillId="0" borderId="0" xfId="0" applyFont="1" applyAlignment="1">
      <x:alignment vertical="top" wrapText="1"/>
    </x:xf>
    <x:xf numFmtId="0" fontId="6" fillId="5" borderId="1" xfId="0" applyFont="1" applyFill="1" applyBorder="1" applyAlignment="1">
      <x:alignment vertical="top" wrapText="1"/>
    </x:xf>
    <x:xf numFmtId="0" fontId="9" fillId="0" borderId="0" xfId="0" applyFont="1" applyAlignment="1">
      <x:alignment horizontal="center"/>
    </x:xf>
    <x:xf numFmtId="0" fontId="9" fillId="0" borderId="0" xfId="0" applyFont="1" applyAlignment="1">
      <x:alignment vertical="top" wrapText="1"/>
    </x:xf>
    <x:xf numFmtId="0" fontId="10" fillId="6" borderId="0" xfId="0" applyFont="1" applyFill="1" applyAlignment="1">
      <x:alignment horizontal="left" wrapText="1"/>
    </x:xf>
    <x:xf numFmtId="0" fontId="4" fillId="3" borderId="1" xfId="0" applyFont="1" applyFill="1" applyBorder="1" applyAlignment="1">
      <x:alignment vertical="top" wrapText="1"/>
    </x:xf>
    <x:xf numFmtId="0" fontId="6" fillId="0" borderId="0" xfId="0" applyFont="1" applyAlignment="1">
      <x:alignment vertical="top" wrapText="0"/>
    </x:xf>
    <x:xf numFmtId="0" fontId="4" fillId="0" borderId="0" xfId="0" applyFont="1" applyAlignment="1">
      <x:alignment vertical="top" wrapText="1"/>
    </x:xf>
    <x:xf numFmtId="0" fontId="6" fillId="5" borderId="0" xfId="0" applyFont="1" applyFill="1" applyAlignment="1">
      <x:alignment vertical="top" wrapText="1"/>
    </x:xf>
    <x:xf numFmtId="0" fontId="11" fillId="5" borderId="1" xfId="0" applyFont="1" applyFill="1" applyBorder="1" applyAlignment="1">
      <x:alignment vertical="top" wrapText="1"/>
    </x:xf>
    <x:xf numFmtId="1" fontId="6" fillId="5" borderId="1" xfId="0" applyNumberFormat="1" applyFont="1" applyFill="1" applyBorder="1" applyAlignment="1">
      <x:alignment vertical="top" wrapText="1"/>
    </x:xf>
    <x:xf numFmtId="0" fontId="2" fillId="3" borderId="1" xfId="0" applyFont="1" applyFill="1" applyBorder="1" applyAlignment="1">
      <x:alignment vertical="top" wrapText="1"/>
    </x:xf>
    <x:xf numFmtId="0" fontId="6" fillId="3" borderId="1" xfId="0" applyFont="1" applyFill="1" applyBorder="1" applyAlignment="1">
      <x:alignment vertical="top" wrapText="1"/>
    </x:xf>
    <x:xf numFmtId="1" fontId="6" fillId="3" borderId="1" xfId="0" applyNumberFormat="1" applyFont="1" applyFill="1" applyBorder="1" applyAlignment="1">
      <x:alignment vertical="top" wrapText="1"/>
    </x:xf>
    <x:xf numFmtId="2" fontId="6" fillId="3" borderId="1" xfId="0" applyNumberFormat="1" applyFont="1" applyFill="1" applyBorder="1" applyAlignment="1">
      <x:alignment vertical="top" wrapText="1"/>
    </x:xf>
    <x:xf numFmtId="2" fontId="6" fillId="5" borderId="1" xfId="0" applyNumberFormat="1" applyFont="1" applyFill="1" applyBorder="1" applyAlignment="1">
      <x:alignment vertical="top" wrapText="1"/>
    </x:xf>
    <x:xf numFmtId="2" fontId="6" fillId="5" borderId="1" xfId="0" applyNumberFormat="1" applyFont="1" applyFill="1" applyBorder="1" applyAlignment="1">
      <x:alignment vertical="top" wrapText="1"/>
    </x:xf>
    <x:xf numFmtId="9" fontId="6" fillId="5" borderId="1" xfId="0" applyNumberFormat="1" applyFont="1" applyFill="1" applyBorder="1" applyAlignment="1">
      <x:alignment vertical="top" wrapText="1"/>
    </x:xf>
    <x:xf numFmtId="9" fontId="6" fillId="5" borderId="1" xfId="0" applyNumberFormat="1" applyFont="1" applyFill="1" applyBorder="1" applyAlignment="1">
      <x:alignment vertical="top" wrapText="1"/>
    </x:xf>
    <x:xf numFmtId="2" fontId="2" fillId="3" borderId="1" xfId="0" applyNumberFormat="1" applyFont="1" applyFill="1" applyBorder="1" applyAlignment="1">
      <x:alignment vertical="top" wrapText="1"/>
    </x:xf>
    <x:xf numFmtId="164" fontId="6" fillId="3" borderId="1" xfId="0" applyNumberFormat="1" applyFont="1" applyFill="1" applyBorder="1" applyAlignment="1">
      <x:alignment vertical="top" wrapText="1"/>
    </x:xf>
    <x:xf numFmtId="9" fontId="6" fillId="3" borderId="1" xfId="0" applyNumberFormat="1" applyFont="1" applyFill="1" applyBorder="1" applyAlignment="1">
      <x:alignment vertical="top" wrapText="1"/>
    </x:xf>
    <x:xf numFmtId="1" fontId="2" fillId="3" borderId="1" xfId="0" applyNumberFormat="1" applyFont="1" applyFill="1" applyBorder="1" applyAlignment="1">
      <x:alignment vertical="top" wrapText="1"/>
    </x:xf>
    <x:xf numFmtId="165" fontId="2" fillId="3" borderId="1" xfId="0" applyNumberFormat="1" applyFont="1" applyFill="1" applyBorder="1" applyAlignment="1">
      <x:alignment vertical="top" wrapText="1"/>
    </x:xf>
    <x:xf numFmtId="49" fontId="6" fillId="5" borderId="1" xfId="0" applyNumberFormat="1" applyFont="1" applyFill="1" applyBorder="1" applyAlignment="1">
      <x:alignment vertical="top" wrapText="1"/>
    </x:xf>
    <x:xf numFmtId="166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e50d8ae544dd1" /><Relationship Type="http://schemas.openxmlformats.org/officeDocument/2006/relationships/theme" Target="/xl/theme/theme1.xml" Id="Rdc6e7e3935d945c2" /><Relationship Type="http://schemas.openxmlformats.org/officeDocument/2006/relationships/sharedStrings" Target="/xl/sharedStrings.xml" Id="Rf149dfe80e3646e2" /><Relationship Type="http://schemas.openxmlformats.org/officeDocument/2006/relationships/worksheet" Target="/xl/worksheets/sheet1.xml" Id="R5c441e99c7c4494e" /><Relationship Type="http://schemas.openxmlformats.org/officeDocument/2006/relationships/worksheet" Target="/xl/worksheets/sheet2.xml" Id="Rc4b5833802fc4626" /><Relationship Type="http://schemas.openxmlformats.org/officeDocument/2006/relationships/worksheet" Target="/xl/worksheets/sheet3.xml" Id="R8344a288134a4f1b" /><Relationship Type="http://schemas.openxmlformats.org/officeDocument/2006/relationships/worksheet" Target="/xl/worksheets/sheet4.xml" Id="R8812c1b35a824172" /><Relationship Type="http://schemas.openxmlformats.org/officeDocument/2006/relationships/worksheet" Target="/xl/worksheets/sheet5.xml" Id="Rb1507373315b47e1" /><Relationship Type="http://schemas.openxmlformats.org/officeDocument/2006/relationships/worksheet" Target="/xl/worksheets/sheet6.xml" Id="R52db266df5c3401c" /><Relationship Type="http://schemas.openxmlformats.org/officeDocument/2006/relationships/worksheet" Target="/xl/worksheets/sheet7.xml" Id="Rbe15aced01c3477c" /><Relationship Type="http://schemas.openxmlformats.org/officeDocument/2006/relationships/worksheet" Target="/xl/worksheets/sheet8.xml" Id="Rc76d4726a90748a8" /><Relationship Type="http://schemas.openxmlformats.org/officeDocument/2006/relationships/worksheet" Target="/xl/worksheets/sheet9.xml" Id="Re68dec70be314d5d" /><Relationship Type="http://schemas.openxmlformats.org/officeDocument/2006/relationships/worksheet" Target="/xl/worksheets/sheet10.xml" Id="Ra1b64ee3e8424565" /><Relationship Type="http://schemas.openxmlformats.org/officeDocument/2006/relationships/worksheet" Target="/xl/worksheets/sheet11.xml" Id="R526afbb8a6ed4ad6" /><Relationship Type="http://schemas.openxmlformats.org/officeDocument/2006/relationships/worksheet" Target="/xl/worksheets/sheet12.xml" Id="R79e3863a5a0b4a11" /><Relationship Type="http://schemas.openxmlformats.org/officeDocument/2006/relationships/worksheet" Target="/xl/worksheets/sheet13.xml" Id="R4d3f3f7b0174435e" /><Relationship Type="http://schemas.openxmlformats.org/officeDocument/2006/relationships/worksheet" Target="/xl/worksheets/sheet14.xml" Id="R86c821ffd4b74095" /><Relationship Type="http://schemas.openxmlformats.org/officeDocument/2006/relationships/worksheet" Target="/xl/worksheets/sheet15.xml" Id="R73a4d6e04dcb47c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7" customWidth="1"/>
    <x:col min="2" max="2" width="31" customWidth="1"/>
    <x:col min="3" max="5" width="27" customWidth="1"/>
    <x:col min="6" max="6" width="29" customWidth="1"/>
    <x:col min="7" max="26" width="8.630000114440918" customWidth="1"/>
  </x:cols>
  <x:sheetData>
    <x:row r="1" ht="28.5" customHeight="1">
      <x:c r="A1" s="1" t="s">
        <x:v>0</x:v>
      </x:c>
      <x:c r="B1" s="1"/>
      <x:c r="C1" s="1"/>
      <x:c r="D1" s="1"/>
      <x:c r="E1" s="1"/>
      <x:c r="F1" s="1"/>
    </x:row>
    <x:row r="2" ht="21.75" customHeight="1">
      <x:c r="A2" s="2"/>
      <x:c r="B2" s="2"/>
      <x:c r="C2" s="2"/>
      <x:c r="D2" s="2"/>
      <x:c r="E2" s="2"/>
      <x:c r="F2" s="2"/>
    </x:row>
    <x:row r="3" ht="22.5" customHeight="1">
      <x:c r="A3" s="3" t="s">
        <x:v>1</x:v>
      </x:c>
      <x:c r="B3" s="3"/>
      <x:c r="C3" s="3"/>
      <x:c r="D3" s="3"/>
      <x:c r="E3" s="3"/>
      <x:c r="F3" s="3"/>
    </x:row>
    <x:row r="4" ht="27" customHeight="1">
      <x:c r="A4" s="4" t="s">
        <x:v>2</x:v>
      </x:c>
      <x:c r="B4" s="4"/>
      <x:c r="C4" s="4"/>
      <x:c r="D4" s="4"/>
      <x:c r="E4" s="4"/>
      <x:c r="F4" s="4"/>
    </x:row>
    <x:row r="5" ht="48.75" customHeight="1">
      <x:c r="A5" s="5" t="s">
        <x:v>3</x:v>
      </x:c>
      <x:c r="B5" s="5" t="s">
        <x:v>4</x:v>
      </x:c>
      <x:c r="C5" s="2"/>
      <x:c r="D5" s="2"/>
      <x:c r="E5" s="2"/>
      <x:c r="F5" s="2"/>
    </x:row>
    <x:row r="6" ht="37.5" customHeight="1">
      <x:c r="A6" s="7" t="s">
        <x:v>5</x:v>
      </x:c>
      <x:c r="B6" s="8" t="s">
        <x:v>6</x:v>
      </x:c>
      <x:c r="C6" s="2"/>
      <x:c r="D6" s="2"/>
      <x:c r="E6" s="2"/>
      <x:c r="F6" s="2"/>
    </x:row>
    <x:row r="7" ht="37.5" customHeight="1">
      <x:c r="A7" s="7" t="s">
        <x:v>7</x:v>
      </x:c>
      <x:c r="B7" s="9">
        <x:v>11.0</x:v>
      </x:c>
      <x:c r="C7" s="2"/>
      <x:c r="D7" s="2"/>
      <x:c r="E7" s="2"/>
      <x:c r="F7" s="2"/>
    </x:row>
    <x:row r="8" ht="37.5" customHeight="1">
      <x:c r="A8" s="7" t="s">
        <x:v>8</x:v>
      </x:c>
      <x:c r="B8" s="8" t="s">
        <x:v>9</x:v>
      </x:c>
      <x:c r="C8" s="2"/>
      <x:c r="D8" s="2"/>
      <x:c r="E8" s="2"/>
      <x:c r="F8" s="2"/>
    </x:row>
    <x:row r="9" ht="21.75" customHeight="1">
      <x:c r="A9" s="2"/>
      <x:c r="B9" s="2"/>
      <x:c r="C9" s="2"/>
      <x:c r="D9" s="2"/>
      <x:c r="E9" s="2"/>
      <x:c r="F9" s="2"/>
    </x:row>
    <x:row r="10" ht="21.75" customHeight="1">
      <x:c r="A10" s="2"/>
      <x:c r="B10" s="2"/>
      <x:c r="C10" s="2"/>
      <x:c r="D10" s="2"/>
      <x:c r="E10" s="2"/>
      <x:c r="F10" s="2"/>
    </x:row>
    <x:row r="11" ht="22.5" customHeight="1">
      <x:c r="A11" s="3" t="s">
        <x:v>10</x:v>
      </x:c>
      <x:c r="B11" s="3"/>
      <x:c r="C11" s="3"/>
      <x:c r="D11" s="3"/>
      <x:c r="E11" s="3"/>
      <x:c r="F11" s="3"/>
    </x:row>
    <x:row r="12" ht="22.5" customHeight="1">
      <x:c r="A12" s="13" t="s">
        <x:v>11</x:v>
      </x:c>
      <x:c r="B12" s="3"/>
      <x:c r="C12" s="3"/>
      <x:c r="D12" s="3"/>
      <x:c r="E12" s="3"/>
      <x:c r="F12" s="3"/>
    </x:row>
    <x:row r="13" ht="22.5" customHeight="1">
      <x:c r="A13" s="3" t="s">
        <x:v>12</x:v>
      </x:c>
      <x:c r="B13" s="3"/>
      <x:c r="C13" s="3"/>
      <x:c r="D13" s="3"/>
      <x:c r="E13" s="3"/>
      <x:c r="F13" s="3"/>
    </x:row>
    <x:row r="14" ht="22.5" customHeight="1">
      <x:c r="A14" s="13" t="s">
        <x:v>13</x:v>
      </x:c>
      <x:c r="B14" s="3"/>
      <x:c r="C14" s="3"/>
      <x:c r="D14" s="3"/>
      <x:c r="E14" s="3"/>
      <x:c r="F14" s="3"/>
    </x:row>
    <x:row r="15" ht="22.5" customHeight="1">
      <x:c r="A15" s="3" t="s">
        <x:v>14</x:v>
      </x:c>
      <x:c r="B15" s="3"/>
      <x:c r="C15" s="3"/>
      <x:c r="D15" s="3"/>
      <x:c r="E15" s="3"/>
      <x:c r="F15" s="3"/>
    </x:row>
    <x:row r="16" ht="22.5" customHeight="1">
      <x:c r="A16" s="3" t="s">
        <x:v>15</x:v>
      </x:c>
      <x:c r="B16" s="3"/>
      <x:c r="C16" s="3"/>
      <x:c r="D16" s="3"/>
      <x:c r="E16" s="3"/>
      <x:c r="F16" s="3"/>
    </x:row>
    <x:row r="17" ht="22.5" customHeight="1">
      <x:c r="A17" s="3" t="s">
        <x:v>16</x:v>
      </x:c>
      <x:c r="B17" s="3"/>
      <x:c r="C17" s="3"/>
      <x:c r="D17" s="3"/>
      <x:c r="E17" s="3"/>
      <x:c r="F17" s="3"/>
    </x:row>
    <x:row r="18" ht="27" customHeight="1">
      <x:c r="A18" s="4" t="s">
        <x:v>17</x:v>
      </x:c>
      <x:c r="B18" s="4"/>
      <x:c r="C18" s="4"/>
      <x:c r="D18" s="4"/>
      <x:c r="E18" s="4"/>
      <x:c r="F18" s="4"/>
    </x:row>
    <x:row r="19" ht="48.75" customHeight="1">
      <x:c r="A19" s="5" t="s">
        <x:v>18</x:v>
      </x:c>
      <x:c r="B19" s="5" t="s">
        <x:v>19</x:v>
      </x:c>
      <x:c r="C19" s="2"/>
      <x:c r="D19" s="2"/>
      <x:c r="E19" s="2"/>
      <x:c r="F19" s="2"/>
    </x:row>
    <x:row r="20" ht="42" customHeight="1">
      <x:c r="A20" s="14" t="s">
        <x:v>20</x:v>
      </x:c>
      <x:c r="B20" s="15" t="s">
        <x:v>21</x:v>
      </x:c>
      <x:c r="C20" s="2"/>
      <x:c r="D20" s="2"/>
      <x:c r="E20" s="2"/>
      <x:c r="F20" s="2"/>
    </x:row>
    <x:row r="21" ht="42" customHeight="1">
      <x:c r="A21" s="14" t="s">
        <x:v>22</x:v>
      </x:c>
      <x:c r="B21" s="15" t="s">
        <x:v>23</x:v>
      </x:c>
      <x:c r="C21" s="2"/>
      <x:c r="D21" s="2"/>
      <x:c r="E21" s="2"/>
      <x:c r="F21" s="2"/>
    </x:row>
    <x:row r="22" ht="42" customHeight="1">
      <x:c r="A22" s="14" t="s">
        <x:v>24</x:v>
      </x:c>
      <x:c r="B22" s="15" t="s">
        <x:v>25</x:v>
      </x:c>
      <x:c r="C22" s="2"/>
      <x:c r="D22" s="2"/>
      <x:c r="E22" s="2"/>
      <x:c r="F22" s="2"/>
    </x:row>
    <x:row r="23" ht="42" customHeight="1">
      <x:c r="A23" s="14" t="s">
        <x:v>26</x:v>
      </x:c>
      <x:c r="B23" s="15" t="s">
        <x:v>27</x:v>
      </x:c>
      <x:c r="C23" s="2"/>
      <x:c r="D23" s="2"/>
      <x:c r="E23" s="2"/>
      <x:c r="F23" s="2"/>
    </x:row>
    <x:row r="24" ht="42" customHeight="1">
      <x:c r="A24" s="14" t="s">
        <x:v>28</x:v>
      </x:c>
      <x:c r="B24" s="15" t="s">
        <x:v>29</x:v>
      </x:c>
      <x:c r="C24" s="2"/>
      <x:c r="D24" s="2"/>
      <x:c r="E24" s="2"/>
      <x:c r="F24" s="2"/>
    </x:row>
    <x:row r="25" ht="37.5" customHeight="1">
      <x:c r="A25" s="14" t="s">
        <x:v>30</x:v>
      </x:c>
      <x:c r="B25" s="15" t="s">
        <x:v>31</x:v>
      </x:c>
      <x:c r="C25" s="2"/>
      <x:c r="D25" s="2"/>
      <x:c r="E25" s="2"/>
      <x:c r="F25" s="2"/>
    </x:row>
    <x:row r="26" ht="42" customHeight="1">
      <x:c r="A26" s="14" t="s">
        <x:v>32</x:v>
      </x:c>
      <x:c r="B26" s="15" t="s">
        <x:v>33</x:v>
      </x:c>
      <x:c r="C26" s="2"/>
      <x:c r="D26" s="2"/>
      <x:c r="E26" s="2"/>
      <x:c r="F26" s="2"/>
    </x:row>
    <x:row r="27" ht="42" customHeight="1">
      <x:c r="A27" s="14" t="s">
        <x:v>34</x:v>
      </x:c>
      <x:c r="B27" s="15" t="s">
        <x:v>35</x:v>
      </x:c>
      <x:c r="C27" s="2"/>
      <x:c r="D27" s="2"/>
      <x:c r="E27" s="2"/>
      <x:c r="F27" s="2"/>
    </x:row>
    <x:row r="28" ht="42" customHeight="1">
      <x:c r="A28" s="14" t="s">
        <x:v>36</x:v>
      </x:c>
      <x:c r="B28" s="15" t="s">
        <x:v>37</x:v>
      </x:c>
      <x:c r="C28" s="2"/>
      <x:c r="D28" s="2"/>
      <x:c r="E28" s="2"/>
      <x:c r="F28" s="2"/>
    </x:row>
    <x:row r="29" ht="42" customHeight="1">
      <x:c r="A29" s="14" t="s">
        <x:v>38</x:v>
      </x:c>
      <x:c r="B29" s="15" t="s">
        <x:v>39</x:v>
      </x:c>
      <x:c r="C29" s="2"/>
      <x:c r="D29" s="2"/>
      <x:c r="E29" s="2"/>
      <x:c r="F29" s="2"/>
    </x:row>
    <x:row r="30" ht="42" customHeight="1">
      <x:c r="A30" s="14" t="s">
        <x:v>40</x:v>
      </x:c>
      <x:c r="B30" s="15" t="s">
        <x:v>41</x:v>
      </x:c>
      <x:c r="C30" s="2"/>
      <x:c r="D30" s="2"/>
      <x:c r="E30" s="2"/>
      <x:c r="F30" s="2"/>
    </x:row>
    <x:row r="31" ht="42" customHeight="1">
      <x:c r="A31" s="14" t="s">
        <x:v>42</x:v>
      </x:c>
      <x:c r="B31" s="15" t="s">
        <x:v>43</x:v>
      </x:c>
      <x:c r="C31" s="2"/>
      <x:c r="D31" s="2"/>
      <x:c r="E31" s="2"/>
      <x:c r="F31" s="2"/>
    </x:row>
    <x:row r="32" ht="42" customHeight="1">
      <x:c r="A32" s="14" t="s">
        <x:v>44</x:v>
      </x:c>
      <x:c r="B32" s="15" t="s">
        <x:v>45</x:v>
      </x:c>
      <x:c r="C32" s="2"/>
      <x:c r="D32" s="2"/>
      <x:c r="E32" s="2"/>
      <x:c r="F32" s="2"/>
    </x:row>
    <x:row r="33" ht="21.75" customHeight="1">
      <x:c r="A33" s="2"/>
      <x:c r="B33" s="2"/>
      <x:c r="C33" s="2"/>
      <x:c r="D33" s="2"/>
      <x:c r="E33" s="2"/>
      <x:c r="F33" s="2"/>
    </x:row>
    <x:row r="34" ht="21.75" customHeight="1">
      <x:c r="A34" s="2"/>
      <x:c r="B34" s="2"/>
      <x:c r="C34" s="2"/>
      <x:c r="D34" s="2"/>
      <x:c r="E34" s="2"/>
      <x:c r="F34" s="2"/>
    </x:row>
    <x:row r="35" ht="21.75" customHeight="1">
      <x:c r="A35" s="6" t="s">
        <x:v>46</x:v>
      </x:c>
      <x:c r="B35" s="2"/>
      <x:c r="C35" s="2"/>
      <x:c r="D35" s="2"/>
      <x:c r="E35" s="2"/>
      <x:c r="F35" s="2"/>
    </x:row>
    <x:row r="36" ht="21.75" customHeight="1">
      <x:c r="A36" s="2"/>
      <x:c r="B36" s="2"/>
      <x:c r="C36" s="2"/>
      <x:c r="D36" s="2"/>
      <x:c r="E36" s="2"/>
      <x:c r="F36" s="2"/>
    </x:row>
    <x:row r="37" ht="27" customHeight="1">
      <x:c r="A37" s="4" t="s">
        <x:v>47</x:v>
      </x:c>
      <x:c r="B37" s="4"/>
      <x:c r="C37" s="4"/>
      <x:c r="D37" s="4"/>
      <x:c r="E37" s="4"/>
      <x:c r="F37" s="4"/>
    </x:row>
    <x:row r="38" ht="22.5" customHeight="1">
      <x:c r="A38" s="10" t="s">
        <x:v>48</x:v>
      </x:c>
      <x:c r="B38" s="10"/>
      <x:c r="C38" s="10"/>
      <x:c r="D38" s="10"/>
      <x:c r="E38" s="10"/>
      <x:c r="F38" s="10"/>
    </x:row>
    <x:row r="39" ht="22.5" customHeight="1">
      <x:c r="A39" s="23" t="s">
        <x:v>49</x:v>
      </x:c>
      <x:c r="B39" s="23"/>
      <x:c r="C39" s="23"/>
      <x:c r="D39" s="23"/>
      <x:c r="E39" s="23"/>
      <x:c r="F39" s="23"/>
    </x:row>
    <x:row r="40" ht="22.5" customHeight="1">
      <x:c r="A40" s="10" t="s">
        <x:v>50</x:v>
      </x:c>
      <x:c r="B40" s="10"/>
      <x:c r="C40" s="10"/>
      <x:c r="D40" s="10"/>
      <x:c r="E40" s="10"/>
      <x:c r="F40" s="10"/>
    </x:row>
    <x:row r="41" ht="22.5" customHeight="1">
      <x:c r="A41" s="23" t="s">
        <x:v>51</x:v>
      </x:c>
      <x:c r="B41" s="23"/>
      <x:c r="C41" s="23"/>
      <x:c r="D41" s="23"/>
      <x:c r="E41" s="23"/>
      <x:c r="F41" s="23"/>
    </x:row>
    <x:row r="42" ht="22.5" customHeight="1">
      <x:c r="A42" s="10" t="s">
        <x:v>52</x:v>
      </x:c>
      <x:c r="B42" s="10"/>
      <x:c r="C42" s="10"/>
      <x:c r="D42" s="10"/>
      <x:c r="E42" s="10"/>
      <x:c r="F42" s="10"/>
    </x:row>
    <x:row r="43" ht="22.5" customHeight="1">
      <x:c r="A43" s="23" t="s">
        <x:v>53</x:v>
      </x:c>
      <x:c r="B43" s="23"/>
      <x:c r="C43" s="23"/>
      <x:c r="D43" s="23"/>
      <x:c r="E43" s="23"/>
      <x:c r="F43" s="23"/>
    </x:row>
    <x:row r="44" ht="22.5" customHeight="1">
      <x:c r="A44" s="3" t="s">
        <x:v>54</x:v>
      </x:c>
      <x:c r="B44" s="3"/>
      <x:c r="C44" s="3"/>
      <x:c r="D44" s="3"/>
      <x:c r="E44" s="3"/>
      <x:c r="F44" s="3"/>
    </x:row>
    <x:row r="45" ht="22.5" customHeight="1">
      <x:c r="A45" s="3" t="s">
        <x:v>55</x:v>
      </x:c>
      <x:c r="B45" s="3"/>
      <x:c r="C45" s="3"/>
      <x:c r="D45" s="3"/>
      <x:c r="E45" s="3"/>
      <x:c r="F45" s="3"/>
    </x:row>
    <x:row r="46" ht="22.5" customHeight="1">
      <x:c r="A46" s="3" t="s">
        <x:v>56</x:v>
      </x:c>
      <x:c r="B46" s="3"/>
      <x:c r="C46" s="3"/>
      <x:c r="D46" s="3"/>
      <x:c r="E46" s="3"/>
      <x:c r="F46" s="3"/>
    </x:row>
    <x:row r="47" ht="21.75" customHeight="1"/>
    <x:row r="48" ht="21.75" customHeight="1"/>
    <x:row r="49" ht="21.75" customHeight="1"/>
    <x:row r="50" ht="21.75" customHeight="1"/>
    <x:row r="51" ht="21.75" customHeight="1"/>
    <x:row r="52" ht="21.75" customHeight="1"/>
    <x:row r="53" ht="21.75" customHeight="1"/>
    <x:row r="54" ht="21.75" customHeight="1"/>
    <x:row r="55" ht="21.75" customHeight="1"/>
    <x:row r="56" ht="21.75" customHeight="1"/>
    <x:row r="57" ht="21.75" customHeight="1"/>
    <x:row r="58" ht="21.75" customHeight="1"/>
    <x:row r="59" ht="21.75" customHeight="1"/>
    <x:row r="60" ht="21.75" customHeight="1"/>
    <x:row r="61" ht="21.75" customHeight="1"/>
    <x:row r="62" ht="21.75" customHeight="1"/>
    <x:row r="63" ht="21.75" customHeight="1"/>
    <x:row r="64" ht="21.75" customHeight="1"/>
    <x:row r="65" ht="21.75" customHeight="1"/>
    <x:row r="66" ht="21.75" customHeight="1"/>
    <x:row r="67" ht="21.75" customHeight="1"/>
    <x:row r="68" ht="21.75" customHeight="1"/>
    <x:row r="69" ht="21.75" customHeight="1"/>
    <x:row r="70" ht="21.75" customHeight="1"/>
    <x:row r="71" ht="21.75" customHeight="1"/>
    <x:row r="72" ht="21.75" customHeight="1"/>
    <x:row r="73" ht="21.75" customHeight="1"/>
    <x:row r="74" ht="21.75" customHeight="1"/>
    <x:row r="75" ht="21.75" customHeight="1"/>
    <x:row r="76" ht="21.75" customHeight="1"/>
    <x:row r="77" ht="21.75" customHeight="1"/>
    <x:row r="78" ht="21.75" customHeight="1"/>
    <x:row r="79" ht="21.75" customHeight="1"/>
    <x:row r="80" ht="21.75" customHeight="1"/>
    <x:row r="81" ht="21.75" customHeight="1"/>
    <x:row r="82" ht="21.75" customHeight="1"/>
    <x:row r="83" ht="21.75" customHeight="1"/>
    <x:row r="84" ht="21.75" customHeight="1"/>
    <x:row r="85" ht="21.75" customHeight="1"/>
    <x:row r="86" ht="21.75" customHeight="1"/>
    <x:row r="87" ht="21.75" customHeight="1"/>
    <x:row r="88" ht="21.75" customHeight="1"/>
    <x:row r="89" ht="21.75" customHeight="1"/>
    <x:row r="90" ht="21.75" customHeight="1"/>
    <x:row r="91" ht="21.75" customHeight="1"/>
    <x:row r="92" ht="21.75" customHeight="1"/>
    <x:row r="93" ht="21.75" customHeight="1"/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decimal" allowBlank="1" sqref="B7">
      <x:formula1>1.0</x:formula1>
      <x:formula2>999.0</x:formula2>
    </x:dataValidation>
  </x:dataValidations>
  <x:hyperlinks>
    <x:hyperlink ref="A20" location="'С01_Успех'!A1"/>
    <x:hyperlink ref="A21" location="'С02_Решения'!A1"/>
    <x:hyperlink ref="A22" location="'С03_Подход'!A1"/>
    <x:hyperlink ref="A23" location="'С04_Обоснование'!A1"/>
    <x:hyperlink ref="A24" location="'С05_Содержание'!A1"/>
    <x:hyperlink ref="A25" location="'С06_Расписание'!A1"/>
    <x:hyperlink ref="A26" location="'С07_Взаимодействие'!A1"/>
    <x:hyperlink ref="A27" location="'С08_Экономика'!A1"/>
    <x:hyperlink ref="A28" location="'С09_Готовность'!A1"/>
    <x:hyperlink ref="A29" location="'С10_Риски'!A1"/>
    <x:hyperlink ref="A30" location="'С11_Диагностика'!A1"/>
    <x:hyperlink ref="A31" location="'С12_Изменение'!A1"/>
    <x:hyperlink ref="A32" location="'С13_Завершение'!A1"/>
    <x:hyperlink ref="A35" location="'Кейс'!A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7" customWidth="1"/>
    <x:col min="2" max="2" width="31" customWidth="1"/>
    <x:col min="3" max="5" width="27" customWidth="1"/>
    <x:col min="6" max="6" width="29" customWidth="1"/>
    <x:col min="7" max="26" width="8.630000114440918" customWidth="1"/>
  </x:cols>
  <x:sheetData>
    <x:row r="1" ht="28.5" customHeight="1">
      <x:c r="A1" s="1" t="s">
        <x:v>57</x:v>
      </x:c>
      <x:c r="B1" s="1"/>
      <x:c r="C1" s="1"/>
      <x:c r="D1" s="1"/>
      <x:c r="E1" s="1"/>
      <x:c r="F1" s="1"/>
    </x:row>
    <x:row r="2" ht="21.75" customHeight="1">
      <x:c r="A2" s="2"/>
      <x:c r="B2" s="2"/>
      <x:c r="C2" s="2"/>
      <x:c r="D2" s="2"/>
      <x:c r="E2" s="2"/>
      <x:c r="F2" s="2"/>
    </x:row>
    <x:row r="3" ht="21.75" customHeight="1">
      <x:c r="A3" s="6" t="s">
        <x:v>58</x:v>
      </x:c>
      <x:c r="B3" s="2"/>
      <x:c r="C3" s="2"/>
      <x:c r="D3" s="2"/>
      <x:c r="E3" s="2"/>
      <x:c r="F3" s="2"/>
    </x:row>
    <x:row r="4" ht="21.75" customHeight="1">
      <x:c r="A4" s="2"/>
      <x:c r="B4" s="2"/>
      <x:c r="C4" s="2"/>
      <x:c r="D4" s="2"/>
      <x:c r="E4" s="2"/>
      <x:c r="F4" s="2"/>
    </x:row>
    <x:row r="5" ht="21.75" customHeight="1">
      <x:c r="A5" s="2"/>
      <x:c r="B5" s="2"/>
      <x:c r="C5" s="2"/>
      <x:c r="D5" s="2"/>
      <x:c r="E5" s="2"/>
      <x:c r="F5" s="2"/>
    </x:row>
    <x:row r="6" ht="22.5" customHeight="1">
      <x:c r="A6" s="3" t="s">
        <x:v>59</x:v>
      </x:c>
      <x:c r="B6" s="3"/>
      <x:c r="C6" s="3"/>
      <x:c r="D6" s="3"/>
      <x:c r="E6" s="3"/>
      <x:c r="F6" s="3"/>
    </x:row>
    <x:row r="7" ht="21.75" customHeight="1">
      <x:c r="A7" s="2"/>
      <x:c r="B7" s="2"/>
      <x:c r="C7" s="2"/>
      <x:c r="D7" s="2"/>
      <x:c r="E7" s="2"/>
      <x:c r="F7" s="2"/>
    </x:row>
    <x:row r="8" ht="22.5" customHeight="1">
      <x:c r="A8" s="3" t="s">
        <x:v>60</x:v>
      </x:c>
      <x:c r="B8" s="3"/>
      <x:c r="C8" s="3"/>
      <x:c r="D8" s="3"/>
      <x:c r="E8" s="3"/>
      <x:c r="F8" s="3"/>
    </x:row>
    <x:row r="9" ht="22.5" customHeight="1">
      <x:c r="A9" s="3" t="s">
        <x:v>61</x:v>
      </x:c>
      <x:c r="B9" s="3"/>
      <x:c r="C9" s="3"/>
      <x:c r="D9" s="3"/>
      <x:c r="E9" s="3"/>
      <x:c r="F9" s="3"/>
    </x:row>
    <x:row r="10" ht="22.5" customHeight="1">
      <x:c r="A10" s="3" t="s">
        <x:v>62</x:v>
      </x:c>
      <x:c r="B10" s="3"/>
      <x:c r="C10" s="3"/>
      <x:c r="D10" s="3"/>
      <x:c r="E10" s="3"/>
      <x:c r="F10" s="3"/>
    </x:row>
    <x:row r="11" ht="21.75" customHeight="1">
      <x:c r="A11" s="2"/>
      <x:c r="B11" s="2"/>
      <x:c r="C11" s="2"/>
      <x:c r="D11" s="2"/>
      <x:c r="E11" s="2"/>
      <x:c r="F11" s="2"/>
    </x:row>
    <x:row r="12" ht="22.5" customHeight="1">
      <x:c r="A12" s="3" t="s">
        <x:v>63</x:v>
      </x:c>
      <x:c r="B12" s="3"/>
      <x:c r="C12" s="3"/>
      <x:c r="D12" s="3"/>
      <x:c r="E12" s="3"/>
      <x:c r="F12" s="3"/>
    </x:row>
    <x:row r="13" ht="22.5" customHeight="1">
      <x:c r="A13" s="3" t="s">
        <x:v>64</x:v>
      </x:c>
      <x:c r="B13" s="3"/>
      <x:c r="C13" s="3"/>
      <x:c r="D13" s="3"/>
      <x:c r="E13" s="3"/>
      <x:c r="F13" s="3"/>
    </x:row>
    <x:row r="14" ht="22.5" customHeight="1">
      <x:c r="A14" s="3" t="s">
        <x:v>65</x:v>
      </x:c>
      <x:c r="B14" s="3"/>
      <x:c r="C14" s="3"/>
      <x:c r="D14" s="3"/>
      <x:c r="E14" s="3"/>
      <x:c r="F14" s="3"/>
    </x:row>
    <x:row r="15" ht="21.75" customHeight="1">
      <x:c r="A15" s="2"/>
      <x:c r="B15" s="2"/>
      <x:c r="C15" s="2"/>
      <x:c r="D15" s="2"/>
      <x:c r="E15" s="2"/>
      <x:c r="F15" s="2"/>
    </x:row>
    <x:row r="16" ht="21.75" customHeight="1">
      <x:c r="A16" s="2"/>
      <x:c r="B16" s="2"/>
      <x:c r="C16" s="2"/>
      <x:c r="D16" s="2"/>
      <x:c r="E16" s="2"/>
      <x:c r="F16" s="2"/>
    </x:row>
    <x:row r="17" ht="27" customHeight="1">
      <x:c r="A17" s="4" t="s">
        <x:v>66</x:v>
      </x:c>
      <x:c r="B17" s="4"/>
      <x:c r="C17" s="4"/>
      <x:c r="D17" s="4"/>
      <x:c r="E17" s="4"/>
      <x:c r="F17" s="4"/>
    </x:row>
    <x:row r="18" ht="21.75" customHeight="1">
      <x:c r="A18" s="2"/>
      <x:c r="B18" s="2"/>
      <x:c r="C18" s="2"/>
      <x:c r="D18" s="2"/>
      <x:c r="E18" s="2"/>
      <x:c r="F18" s="2"/>
    </x:row>
    <x:row r="19" ht="22.5" customHeight="1">
      <x:c r="A19" s="3" t="s">
        <x:v>67</x:v>
      </x:c>
      <x:c r="B19" s="3"/>
      <x:c r="C19" s="3"/>
      <x:c r="D19" s="3"/>
      <x:c r="E19" s="3"/>
      <x:c r="F19" s="3"/>
    </x:row>
    <x:row r="20" ht="22.5" customHeight="1">
      <x:c r="A20" s="3" t="s">
        <x:v>68</x:v>
      </x:c>
      <x:c r="B20" s="3"/>
      <x:c r="C20" s="3"/>
      <x:c r="D20" s="3"/>
      <x:c r="E20" s="3"/>
      <x:c r="F20" s="3"/>
    </x:row>
    <x:row r="21" ht="22.5" customHeight="1">
      <x:c r="A21" s="3" t="s">
        <x:v>69</x:v>
      </x:c>
      <x:c r="B21" s="3"/>
      <x:c r="C21" s="3"/>
      <x:c r="D21" s="3"/>
      <x:c r="E21" s="3"/>
      <x:c r="F21" s="3"/>
    </x:row>
    <x:row r="22" ht="21.75" customHeight="1">
      <x:c r="A22" s="2"/>
      <x:c r="B22" s="2"/>
      <x:c r="C22" s="2"/>
      <x:c r="D22" s="2"/>
      <x:c r="E22" s="2"/>
      <x:c r="F22" s="2"/>
    </x:row>
    <x:row r="23" ht="22.5" customHeight="1">
      <x:c r="A23" s="3" t="s">
        <x:v>70</x:v>
      </x:c>
      <x:c r="B23" s="3"/>
      <x:c r="C23" s="3"/>
      <x:c r="D23" s="3"/>
      <x:c r="E23" s="3"/>
      <x:c r="F23" s="3"/>
    </x:row>
    <x:row r="24" ht="22.5" customHeight="1">
      <x:c r="A24" s="3" t="s">
        <x:v>71</x:v>
      </x:c>
      <x:c r="B24" s="3"/>
      <x:c r="C24" s="3"/>
      <x:c r="D24" s="3"/>
      <x:c r="E24" s="3"/>
      <x:c r="F24" s="3"/>
    </x:row>
    <x:row r="25" ht="22.5" customHeight="1">
      <x:c r="A25" s="3" t="s">
        <x:v>72</x:v>
      </x:c>
      <x:c r="B25" s="3"/>
      <x:c r="C25" s="3"/>
      <x:c r="D25" s="3"/>
      <x:c r="E25" s="3"/>
      <x:c r="F25" s="3"/>
    </x:row>
    <x:row r="26" ht="22.5" customHeight="1">
      <x:c r="A26" s="3" t="s">
        <x:v>73</x:v>
      </x:c>
      <x:c r="B26" s="3"/>
      <x:c r="C26" s="3"/>
      <x:c r="D26" s="3"/>
      <x:c r="E26" s="3"/>
      <x:c r="F26" s="3"/>
    </x:row>
    <x:row r="27" ht="21.75" customHeight="1">
      <x:c r="A27" s="2"/>
      <x:c r="B27" s="2"/>
      <x:c r="C27" s="2"/>
      <x:c r="D27" s="2"/>
      <x:c r="E27" s="2"/>
      <x:c r="F27" s="2"/>
    </x:row>
    <x:row r="28" ht="22.5" customHeight="1">
      <x:c r="A28" s="3" t="s">
        <x:v>74</x:v>
      </x:c>
      <x:c r="B28" s="3"/>
      <x:c r="C28" s="3"/>
      <x:c r="D28" s="3"/>
      <x:c r="E28" s="3"/>
      <x:c r="F28" s="3"/>
    </x:row>
    <x:row r="29" ht="22.5" customHeight="1">
      <x:c r="A29" s="3" t="s">
        <x:v>75</x:v>
      </x:c>
      <x:c r="B29" s="3"/>
      <x:c r="C29" s="3"/>
      <x:c r="D29" s="3"/>
      <x:c r="E29" s="3"/>
      <x:c r="F29" s="3"/>
    </x:row>
    <x:row r="30" ht="22.5" customHeight="1">
      <x:c r="A30" s="3" t="s">
        <x:v>76</x:v>
      </x:c>
      <x:c r="B30" s="3"/>
      <x:c r="C30" s="3"/>
      <x:c r="D30" s="3"/>
      <x:c r="E30" s="3"/>
      <x:c r="F30" s="3"/>
    </x:row>
    <x:row r="31" ht="21.75" customHeight="1">
      <x:c r="A31" s="2"/>
      <x:c r="B31" s="2"/>
      <x:c r="C31" s="2"/>
      <x:c r="D31" s="2"/>
      <x:c r="E31" s="2"/>
      <x:c r="F31" s="2"/>
    </x:row>
    <x:row r="32" ht="22.5" customHeight="1">
      <x:c r="A32" s="3" t="s">
        <x:v>77</x:v>
      </x:c>
      <x:c r="B32" s="3"/>
      <x:c r="C32" s="3"/>
      <x:c r="D32" s="3"/>
      <x:c r="E32" s="3"/>
      <x:c r="F32" s="3"/>
    </x:row>
    <x:row r="33" ht="22.5" customHeight="1">
      <x:c r="A33" s="3" t="s">
        <x:v>78</x:v>
      </x:c>
      <x:c r="B33" s="3"/>
      <x:c r="C33" s="3"/>
      <x:c r="D33" s="3"/>
      <x:c r="E33" s="3"/>
      <x:c r="F33" s="3"/>
    </x:row>
    <x:row r="34" ht="22.5" customHeight="1">
      <x:c r="A34" s="3" t="s">
        <x:v>79</x:v>
      </x:c>
      <x:c r="B34" s="3"/>
      <x:c r="C34" s="3"/>
      <x:c r="D34" s="3"/>
      <x:c r="E34" s="3"/>
      <x:c r="F34" s="3"/>
    </x:row>
    <x:row r="35" ht="21.75" customHeight="1">
      <x:c r="A35" s="2"/>
      <x:c r="B35" s="2"/>
      <x:c r="C35" s="2"/>
      <x:c r="D35" s="2"/>
      <x:c r="E35" s="2"/>
      <x:c r="F35" s="2"/>
    </x:row>
    <x:row r="36" ht="21.75" customHeight="1">
      <x:c r="A36" s="2"/>
      <x:c r="B36" s="2"/>
      <x:c r="C36" s="2"/>
      <x:c r="D36" s="2"/>
      <x:c r="E36" s="2"/>
      <x:c r="F36" s="2"/>
    </x:row>
    <x:row r="37" ht="27" customHeight="1">
      <x:c r="A37" s="4" t="s">
        <x:v>80</x:v>
      </x:c>
      <x:c r="B37" s="4"/>
      <x:c r="C37" s="4"/>
      <x:c r="D37" s="4"/>
      <x:c r="E37" s="4"/>
      <x:c r="F37" s="4"/>
    </x:row>
    <x:row r="38" ht="21.75" customHeight="1">
      <x:c r="A38" s="2"/>
      <x:c r="B38" s="2"/>
      <x:c r="C38" s="2"/>
      <x:c r="D38" s="2"/>
      <x:c r="E38" s="2"/>
      <x:c r="F38" s="2"/>
    </x:row>
    <x:row r="39" ht="22.5" customHeight="1">
      <x:c r="A39" s="3" t="s">
        <x:v>81</x:v>
      </x:c>
      <x:c r="B39" s="3"/>
      <x:c r="C39" s="3"/>
      <x:c r="D39" s="3"/>
      <x:c r="E39" s="3"/>
      <x:c r="F39" s="3"/>
    </x:row>
    <x:row r="40" ht="22.5" customHeight="1">
      <x:c r="A40" s="3" t="s">
        <x:v>82</x:v>
      </x:c>
      <x:c r="B40" s="3"/>
      <x:c r="C40" s="3"/>
      <x:c r="D40" s="3"/>
      <x:c r="E40" s="3"/>
      <x:c r="F40" s="3"/>
    </x:row>
    <x:row r="41" ht="22.5" customHeight="1">
      <x:c r="A41" s="3" t="s">
        <x:v>83</x:v>
      </x:c>
      <x:c r="B41" s="3"/>
      <x:c r="C41" s="3"/>
      <x:c r="D41" s="3"/>
      <x:c r="E41" s="3"/>
      <x:c r="F41" s="3"/>
    </x:row>
    <x:row r="42" ht="21.75" customHeight="1">
      <x:c r="A42" s="2"/>
      <x:c r="B42" s="2"/>
      <x:c r="C42" s="2"/>
      <x:c r="D42" s="2"/>
      <x:c r="E42" s="2"/>
      <x:c r="F42" s="2"/>
    </x:row>
    <x:row r="43" ht="22.5" customHeight="1">
      <x:c r="A43" s="3" t="s">
        <x:v>84</x:v>
      </x:c>
      <x:c r="B43" s="3"/>
      <x:c r="C43" s="3"/>
      <x:c r="D43" s="3"/>
      <x:c r="E43" s="3"/>
      <x:c r="F43" s="3"/>
    </x:row>
    <x:row r="44" ht="22.5" customHeight="1">
      <x:c r="A44" s="3" t="s">
        <x:v>85</x:v>
      </x:c>
      <x:c r="B44" s="3"/>
      <x:c r="C44" s="3"/>
      <x:c r="D44" s="3"/>
      <x:c r="E44" s="3"/>
      <x:c r="F44" s="3"/>
    </x:row>
    <x:row r="45" ht="22.5" customHeight="1">
      <x:c r="A45" s="3" t="s">
        <x:v>86</x:v>
      </x:c>
      <x:c r="B45" s="3"/>
      <x:c r="C45" s="3"/>
      <x:c r="D45" s="3"/>
      <x:c r="E45" s="3"/>
      <x:c r="F45" s="3"/>
    </x:row>
    <x:row r="46" ht="21.75" customHeight="1">
      <x:c r="A46" s="2"/>
      <x:c r="B46" s="2"/>
      <x:c r="C46" s="2"/>
      <x:c r="D46" s="2"/>
      <x:c r="E46" s="2"/>
      <x:c r="F46" s="2"/>
    </x:row>
    <x:row r="47" ht="22.5" customHeight="1">
      <x:c r="A47" s="3" t="s">
        <x:v>87</x:v>
      </x:c>
      <x:c r="B47" s="3"/>
      <x:c r="C47" s="3"/>
      <x:c r="D47" s="3"/>
      <x:c r="E47" s="3"/>
      <x:c r="F47" s="3"/>
    </x:row>
    <x:row r="48" ht="22.5" customHeight="1">
      <x:c r="A48" s="3" t="s">
        <x:v>88</x:v>
      </x:c>
      <x:c r="B48" s="3"/>
      <x:c r="C48" s="3"/>
      <x:c r="D48" s="3"/>
      <x:c r="E48" s="3"/>
      <x:c r="F48" s="3"/>
    </x:row>
    <x:row r="49" ht="22.5" customHeight="1">
      <x:c r="A49" s="3" t="s">
        <x:v>89</x:v>
      </x:c>
      <x:c r="B49" s="3"/>
      <x:c r="C49" s="3"/>
      <x:c r="D49" s="3"/>
      <x:c r="E49" s="3"/>
      <x:c r="F49" s="3"/>
    </x:row>
    <x:row r="50" ht="22.5" customHeight="1">
      <x:c r="A50" s="3" t="s">
        <x:v>90</x:v>
      </x:c>
      <x:c r="B50" s="3"/>
      <x:c r="C50" s="3"/>
      <x:c r="D50" s="3"/>
      <x:c r="E50" s="3"/>
      <x:c r="F50" s="3"/>
    </x:row>
    <x:row r="51" ht="21.75" customHeight="1">
      <x:c r="A51" s="2"/>
      <x:c r="B51" s="2"/>
      <x:c r="C51" s="2"/>
      <x:c r="D51" s="2"/>
      <x:c r="E51" s="2"/>
      <x:c r="F51" s="2"/>
    </x:row>
    <x:row r="52" ht="22.5" customHeight="1">
      <x:c r="A52" s="3" t="s">
        <x:v>91</x:v>
      </x:c>
      <x:c r="B52" s="3"/>
      <x:c r="C52" s="3"/>
      <x:c r="D52" s="3"/>
      <x:c r="E52" s="3"/>
      <x:c r="F52" s="3"/>
    </x:row>
    <x:row r="53" ht="22.5" customHeight="1">
      <x:c r="A53" s="3" t="s">
        <x:v>92</x:v>
      </x:c>
      <x:c r="B53" s="3"/>
      <x:c r="C53" s="3"/>
      <x:c r="D53" s="3"/>
      <x:c r="E53" s="3"/>
      <x:c r="F53" s="3"/>
    </x:row>
    <x:row r="54" ht="22.5" customHeight="1">
      <x:c r="A54" s="3" t="s">
        <x:v>93</x:v>
      </x:c>
      <x:c r="B54" s="3"/>
      <x:c r="C54" s="3"/>
      <x:c r="D54" s="3"/>
      <x:c r="E54" s="3"/>
      <x:c r="F54" s="3"/>
    </x:row>
    <x:row r="55" ht="21.75" customHeight="1">
      <x:c r="A55" s="2"/>
      <x:c r="B55" s="2"/>
      <x:c r="C55" s="2"/>
      <x:c r="D55" s="2"/>
      <x:c r="E55" s="2"/>
      <x:c r="F55" s="2"/>
    </x:row>
    <x:row r="56" ht="21.75" customHeight="1">
      <x:c r="A56" s="2"/>
      <x:c r="B56" s="2"/>
      <x:c r="C56" s="2"/>
      <x:c r="D56" s="2"/>
      <x:c r="E56" s="2"/>
      <x:c r="F56" s="2"/>
    </x:row>
    <x:row r="57" ht="27" customHeight="1">
      <x:c r="A57" s="4" t="s">
        <x:v>94</x:v>
      </x:c>
      <x:c r="B57" s="4"/>
      <x:c r="C57" s="4"/>
      <x:c r="D57" s="4"/>
      <x:c r="E57" s="4"/>
      <x:c r="F57" s="4"/>
    </x:row>
    <x:row r="58" ht="21.75" customHeight="1">
      <x:c r="A58" s="2"/>
      <x:c r="B58" s="2"/>
      <x:c r="C58" s="2"/>
      <x:c r="D58" s="2"/>
      <x:c r="E58" s="2"/>
      <x:c r="F58" s="2"/>
    </x:row>
    <x:row r="59" ht="22.5" customHeight="1">
      <x:c r="A59" s="3" t="s">
        <x:v>95</x:v>
      </x:c>
      <x:c r="B59" s="3"/>
      <x:c r="C59" s="3"/>
      <x:c r="D59" s="3"/>
      <x:c r="E59" s="3"/>
      <x:c r="F59" s="3"/>
    </x:row>
    <x:row r="60" ht="22.5" customHeight="1">
      <x:c r="A60" s="3" t="s">
        <x:v>96</x:v>
      </x:c>
      <x:c r="B60" s="3"/>
      <x:c r="C60" s="3"/>
      <x:c r="D60" s="3"/>
      <x:c r="E60" s="3"/>
      <x:c r="F60" s="3"/>
    </x:row>
    <x:row r="61" ht="22.5" customHeight="1">
      <x:c r="A61" s="3" t="s">
        <x:v>97</x:v>
      </x:c>
      <x:c r="B61" s="3"/>
      <x:c r="C61" s="3"/>
      <x:c r="D61" s="3"/>
      <x:c r="E61" s="3"/>
      <x:c r="F61" s="3"/>
    </x:row>
    <x:row r="62" ht="21.75" customHeight="1">
      <x:c r="A62" s="2"/>
      <x:c r="B62" s="2"/>
      <x:c r="C62" s="2"/>
      <x:c r="D62" s="2"/>
      <x:c r="E62" s="2"/>
      <x:c r="F62" s="2"/>
    </x:row>
    <x:row r="63" ht="22.5" customHeight="1">
      <x:c r="A63" s="3" t="s">
        <x:v>98</x:v>
      </x:c>
      <x:c r="B63" s="3"/>
      <x:c r="C63" s="3"/>
      <x:c r="D63" s="3"/>
      <x:c r="E63" s="3"/>
      <x:c r="F63" s="3"/>
    </x:row>
    <x:row r="64" ht="21.75" customHeight="1">
      <x:c r="A64" s="2"/>
      <x:c r="B64" s="2"/>
      <x:c r="C64" s="2"/>
      <x:c r="D64" s="2"/>
      <x:c r="E64" s="2"/>
      <x:c r="F64" s="2"/>
    </x:row>
    <x:row r="65" ht="27" customHeight="1">
      <x:c r="A65" s="4" t="s">
        <x:v>99</x:v>
      </x:c>
      <x:c r="B65" s="4"/>
      <x:c r="C65" s="4"/>
      <x:c r="D65" s="4"/>
      <x:c r="E65" s="4"/>
      <x:c r="F65" s="4"/>
    </x:row>
    <x:row r="66" ht="48.75" customHeight="1">
      <x:c r="A66" s="5" t="s">
        <x:v>100</x:v>
      </x:c>
      <x:c r="B66" s="5" t="s">
        <x:v>101</x:v>
      </x:c>
      <x:c r="C66" s="2"/>
      <x:c r="D66" s="2"/>
      <x:c r="E66" s="2"/>
      <x:c r="F66" s="2"/>
    </x:row>
    <x:row r="67" ht="42" customHeight="1">
      <x:c r="A67" s="15" t="s">
        <x:v>102</x:v>
      </x:c>
      <x:c r="B67" s="15" t="s">
        <x:v>103</x:v>
      </x:c>
      <x:c r="C67" s="2"/>
      <x:c r="D67" s="2"/>
      <x:c r="E67" s="2"/>
      <x:c r="F67" s="2"/>
    </x:row>
    <x:row r="68" ht="72" customHeight="1">
      <x:c r="A68" s="15" t="s">
        <x:v>104</x:v>
      </x:c>
      <x:c r="B68" s="15" t="s">
        <x:v>105</x:v>
      </x:c>
      <x:c r="C68" s="2"/>
      <x:c r="D68" s="2"/>
      <x:c r="E68" s="2"/>
      <x:c r="F68" s="2"/>
    </x:row>
    <x:row r="69" ht="57" customHeight="1">
      <x:c r="A69" s="15" t="s">
        <x:v>106</x:v>
      </x:c>
      <x:c r="B69" s="15" t="s">
        <x:v>107</x:v>
      </x:c>
      <x:c r="C69" s="2"/>
      <x:c r="D69" s="2"/>
      <x:c r="E69" s="2"/>
      <x:c r="F69" s="2"/>
    </x:row>
    <x:row r="70" ht="57" customHeight="1">
      <x:c r="A70" s="15" t="s">
        <x:v>108</x:v>
      </x:c>
      <x:c r="B70" s="15" t="s">
        <x:v>109</x:v>
      </x:c>
      <x:c r="C70" s="2"/>
      <x:c r="D70" s="2"/>
      <x:c r="E70" s="2"/>
      <x:c r="F70" s="2"/>
    </x:row>
    <x:row r="71" ht="21.75" customHeight="1">
      <x:c r="A71" s="2"/>
      <x:c r="B71" s="2"/>
      <x:c r="C71" s="2"/>
      <x:c r="D71" s="2"/>
      <x:c r="E71" s="2"/>
      <x:c r="F71" s="2"/>
    </x:row>
    <x:row r="72" ht="21.75" customHeight="1">
      <x:c r="A72" s="2"/>
      <x:c r="B72" s="2"/>
      <x:c r="C72" s="2"/>
      <x:c r="D72" s="2"/>
      <x:c r="E72" s="2"/>
      <x:c r="F72" s="2"/>
    </x:row>
    <x:row r="73" ht="21.75" customHeight="1">
      <x:c r="A73" s="2"/>
      <x:c r="B73" s="2"/>
      <x:c r="C73" s="2"/>
      <x:c r="D73" s="2"/>
      <x:c r="E73" s="2"/>
      <x:c r="F73" s="2"/>
    </x:row>
    <x:row r="74" ht="22.5" customHeight="1">
      <x:c r="A74" s="3" t="s">
        <x:v>110</x:v>
      </x:c>
      <x:c r="B74" s="3"/>
      <x:c r="C74" s="3"/>
      <x:c r="D74" s="3"/>
      <x:c r="E74" s="3"/>
      <x:c r="F74" s="3"/>
    </x:row>
    <x:row r="75" ht="22.5" customHeight="1">
      <x:c r="A75" s="3" t="s">
        <x:v>111</x:v>
      </x:c>
      <x:c r="B75" s="3"/>
      <x:c r="C75" s="3"/>
      <x:c r="D75" s="3"/>
      <x:c r="E75" s="3"/>
      <x:c r="F75" s="3"/>
    </x:row>
    <x:row r="76" ht="22.5" customHeight="1">
      <x:c r="A76" s="3" t="s">
        <x:v>112</x:v>
      </x:c>
      <x:c r="B76" s="3"/>
      <x:c r="C76" s="3"/>
      <x:c r="D76" s="3"/>
      <x:c r="E76" s="3"/>
      <x:c r="F76" s="3"/>
    </x:row>
    <x:row r="77" ht="22.5" customHeight="1">
      <x:c r="A77" s="3" t="s">
        <x:v>113</x:v>
      </x:c>
      <x:c r="B77" s="3"/>
      <x:c r="C77" s="3"/>
      <x:c r="D77" s="3"/>
      <x:c r="E77" s="3"/>
      <x:c r="F77" s="3"/>
    </x:row>
    <x:row r="78" ht="21.75" customHeight="1">
      <x:c r="A78" s="2"/>
      <x:c r="B78" s="2"/>
      <x:c r="C78" s="2"/>
      <x:c r="D78" s="2"/>
      <x:c r="E78" s="2"/>
      <x:c r="F78" s="2"/>
    </x:row>
    <x:row r="79" ht="22.5" customHeight="1">
      <x:c r="A79" s="3" t="s">
        <x:v>114</x:v>
      </x:c>
      <x:c r="B79" s="3"/>
      <x:c r="C79" s="3"/>
      <x:c r="D79" s="3"/>
      <x:c r="E79" s="3"/>
      <x:c r="F79" s="3"/>
    </x:row>
    <x:row r="80" ht="22.5" customHeight="1">
      <x:c r="A80" s="3" t="s">
        <x:v>115</x:v>
      </x:c>
      <x:c r="B80" s="3"/>
      <x:c r="C80" s="3"/>
      <x:c r="D80" s="3"/>
      <x:c r="E80" s="3"/>
      <x:c r="F80" s="3"/>
    </x:row>
    <x:row r="81" ht="22.5" customHeight="1">
      <x:c r="A81" s="3" t="s">
        <x:v>116</x:v>
      </x:c>
      <x:c r="B81" s="3"/>
      <x:c r="C81" s="3"/>
      <x:c r="D81" s="3"/>
      <x:c r="E81" s="3"/>
      <x:c r="F81" s="3"/>
    </x:row>
    <x:row r="82" ht="21.75" customHeight="1">
      <x:c r="A82" s="2"/>
      <x:c r="B82" s="2"/>
      <x:c r="C82" s="2"/>
      <x:c r="D82" s="2"/>
      <x:c r="E82" s="2"/>
      <x:c r="F82" s="2"/>
    </x:row>
    <x:row r="83" ht="21.75" customHeight="1">
      <x:c r="A83" s="2"/>
      <x:c r="B83" s="2"/>
      <x:c r="C83" s="2"/>
      <x:c r="D83" s="2"/>
      <x:c r="E83" s="2"/>
      <x:c r="F83" s="2"/>
    </x:row>
    <x:row r="84" ht="27" customHeight="1">
      <x:c r="A84" s="4" t="s">
        <x:v>117</x:v>
      </x:c>
      <x:c r="B84" s="4"/>
      <x:c r="C84" s="4"/>
      <x:c r="D84" s="4"/>
      <x:c r="E84" s="4"/>
      <x:c r="F84" s="4"/>
    </x:row>
    <x:row r="85" ht="21.75" customHeight="1">
      <x:c r="A85" s="2"/>
      <x:c r="B85" s="2"/>
      <x:c r="C85" s="2"/>
      <x:c r="D85" s="2"/>
      <x:c r="E85" s="2"/>
      <x:c r="F85" s="2"/>
    </x:row>
    <x:row r="86" ht="22.5" customHeight="1">
      <x:c r="A86" s="3" t="s">
        <x:v>118</x:v>
      </x:c>
      <x:c r="B86" s="3"/>
      <x:c r="C86" s="3"/>
      <x:c r="D86" s="3"/>
      <x:c r="E86" s="3"/>
      <x:c r="F86" s="3"/>
    </x:row>
    <x:row r="87" ht="22.5" customHeight="1">
      <x:c r="A87" s="3" t="s">
        <x:v>119</x:v>
      </x:c>
      <x:c r="B87" s="3"/>
      <x:c r="C87" s="3"/>
      <x:c r="D87" s="3"/>
      <x:c r="E87" s="3"/>
      <x:c r="F87" s="3"/>
    </x:row>
    <x:row r="88" ht="21.75" customHeight="1">
      <x:c r="A88" s="2"/>
      <x:c r="B88" s="2"/>
      <x:c r="C88" s="2"/>
      <x:c r="D88" s="2"/>
      <x:c r="E88" s="2"/>
      <x:c r="F88" s="2"/>
    </x:row>
    <x:row r="89" ht="22.5" customHeight="1">
      <x:c r="A89" s="3" t="s">
        <x:v>120</x:v>
      </x:c>
      <x:c r="B89" s="3"/>
      <x:c r="C89" s="3"/>
      <x:c r="D89" s="3"/>
      <x:c r="E89" s="3"/>
      <x:c r="F89" s="3"/>
    </x:row>
    <x:row r="90" ht="22.5" customHeight="1">
      <x:c r="A90" s="3" t="s">
        <x:v>121</x:v>
      </x:c>
      <x:c r="B90" s="3"/>
      <x:c r="C90" s="3"/>
      <x:c r="D90" s="3"/>
      <x:c r="E90" s="3"/>
      <x:c r="F90" s="3"/>
    </x:row>
    <x:row r="91" ht="22.5" customHeight="1">
      <x:c r="A91" s="3" t="s">
        <x:v>122</x:v>
      </x:c>
      <x:c r="B91" s="3"/>
      <x:c r="C91" s="3"/>
      <x:c r="D91" s="3"/>
      <x:c r="E91" s="3"/>
      <x:c r="F91" s="3"/>
    </x:row>
    <x:row r="92" ht="21.75" customHeight="1">
      <x:c r="A92" s="2"/>
      <x:c r="B92" s="2"/>
      <x:c r="C92" s="2"/>
      <x:c r="D92" s="2"/>
      <x:c r="E92" s="2"/>
      <x:c r="F92" s="2"/>
    </x:row>
    <x:row r="93" ht="22.5" customHeight="1">
      <x:c r="A93" s="3" t="s">
        <x:v>123</x:v>
      </x:c>
      <x:c r="B93" s="3"/>
      <x:c r="C93" s="3"/>
      <x:c r="D93" s="3"/>
      <x:c r="E93" s="3"/>
      <x:c r="F93" s="3"/>
    </x:row>
    <x:row r="94" ht="22.5" customHeight="1">
      <x:c r="A94" s="3" t="s">
        <x:v>124</x:v>
      </x:c>
      <x:c r="B94" s="3"/>
      <x:c r="C94" s="3"/>
      <x:c r="D94" s="3"/>
      <x:c r="E94" s="3"/>
      <x:c r="F94" s="3"/>
    </x:row>
    <x:row r="95" ht="22.5" customHeight="1">
      <x:c r="A95" s="3" t="s">
        <x:v>125</x:v>
      </x:c>
      <x:c r="B95" s="3"/>
      <x:c r="C95" s="3"/>
      <x:c r="D95" s="3"/>
      <x:c r="E95" s="3"/>
      <x:c r="F95" s="3"/>
    </x:row>
    <x:row r="96" ht="21.75" customHeight="1">
      <x:c r="A96" s="2"/>
      <x:c r="B96" s="2"/>
      <x:c r="C96" s="2"/>
      <x:c r="D96" s="2"/>
      <x:c r="E96" s="2"/>
      <x:c r="F96" s="2"/>
    </x:row>
    <x:row r="97" ht="22.5" customHeight="1">
      <x:c r="A97" s="3" t="s">
        <x:v>126</x:v>
      </x:c>
      <x:c r="B97" s="3"/>
      <x:c r="C97" s="3"/>
      <x:c r="D97" s="3"/>
      <x:c r="E97" s="3"/>
      <x:c r="F97" s="3"/>
    </x:row>
    <x:row r="98" ht="22.5" customHeight="1">
      <x:c r="A98" s="3" t="s">
        <x:v>127</x:v>
      </x:c>
      <x:c r="B98" s="3"/>
      <x:c r="C98" s="3"/>
      <x:c r="D98" s="3"/>
      <x:c r="E98" s="3"/>
      <x:c r="F98" s="3"/>
    </x:row>
    <x:row r="99" ht="22.5" customHeight="1">
      <x:c r="A99" s="3" t="s">
        <x:v>128</x:v>
      </x:c>
      <x:c r="B99" s="3"/>
      <x:c r="C99" s="3"/>
      <x:c r="D99" s="3"/>
      <x:c r="E99" s="3"/>
      <x:c r="F99" s="3"/>
    </x:row>
    <x:row r="100" ht="21.75" customHeight="1">
      <x:c r="A100" s="2"/>
      <x:c r="B100" s="2"/>
      <x:c r="C100" s="2"/>
      <x:c r="D100" s="2"/>
      <x:c r="E100" s="2"/>
      <x:c r="F100" s="2"/>
    </x:row>
    <x:row r="101" ht="22.5" customHeight="1">
      <x:c r="A101" s="3" t="s">
        <x:v>129</x:v>
      </x:c>
      <x:c r="B101" s="3"/>
      <x:c r="C101" s="3"/>
      <x:c r="D101" s="3"/>
      <x:c r="E101" s="3"/>
      <x:c r="F101" s="3"/>
    </x:row>
    <x:row r="102" ht="22.5" customHeight="1">
      <x:c r="A102" s="3" t="s">
        <x:v>130</x:v>
      </x:c>
      <x:c r="B102" s="3"/>
      <x:c r="C102" s="3"/>
      <x:c r="D102" s="3"/>
      <x:c r="E102" s="3"/>
      <x:c r="F102" s="3"/>
    </x:row>
    <x:row r="103" ht="22.5" customHeight="1">
      <x:c r="A103" s="3" t="s">
        <x:v>131</x:v>
      </x:c>
      <x:c r="B103" s="3"/>
      <x:c r="C103" s="3"/>
      <x:c r="D103" s="3"/>
      <x:c r="E103" s="3"/>
      <x:c r="F103" s="3"/>
    </x:row>
    <x:row r="104" ht="21.75" customHeight="1">
      <x:c r="A104" s="2"/>
      <x:c r="B104" s="2"/>
      <x:c r="C104" s="2"/>
      <x:c r="D104" s="2"/>
      <x:c r="E104" s="2"/>
      <x:c r="F104" s="2"/>
    </x:row>
    <x:row r="105" ht="22.5" customHeight="1">
      <x:c r="A105" s="3" t="s">
        <x:v>132</x:v>
      </x:c>
      <x:c r="B105" s="3"/>
      <x:c r="C105" s="3"/>
      <x:c r="D105" s="3"/>
      <x:c r="E105" s="3"/>
      <x:c r="F105" s="3"/>
    </x:row>
    <x:row r="106" ht="22.5" customHeight="1">
      <x:c r="A106" s="3" t="s">
        <x:v>133</x:v>
      </x:c>
      <x:c r="B106" s="3"/>
      <x:c r="C106" s="3"/>
      <x:c r="D106" s="3"/>
      <x:c r="E106" s="3"/>
      <x:c r="F106" s="3"/>
    </x:row>
    <x:row r="107" ht="22.5" customHeight="1">
      <x:c r="A107" s="3" t="s">
        <x:v>134</x:v>
      </x:c>
      <x:c r="B107" s="3"/>
      <x:c r="C107" s="3"/>
      <x:c r="D107" s="3"/>
      <x:c r="E107" s="3"/>
      <x:c r="F107" s="3"/>
    </x:row>
    <x:row r="108" ht="21.75" customHeight="1">
      <x:c r="A108" s="2"/>
      <x:c r="B108" s="2"/>
      <x:c r="C108" s="2"/>
      <x:c r="D108" s="2"/>
      <x:c r="E108" s="2"/>
      <x:c r="F108" s="2"/>
    </x:row>
    <x:row r="109" ht="21.75" customHeight="1">
      <x:c r="A109" s="2"/>
      <x:c r="B109" s="2"/>
      <x:c r="C109" s="2"/>
      <x:c r="D109" s="2"/>
      <x:c r="E109" s="2"/>
      <x:c r="F109" s="2"/>
    </x:row>
    <x:row r="110" ht="27" customHeight="1">
      <x:c r="A110" s="4" t="s">
        <x:v>135</x:v>
      </x:c>
      <x:c r="B110" s="4"/>
      <x:c r="C110" s="4"/>
      <x:c r="D110" s="4"/>
      <x:c r="E110" s="4"/>
      <x:c r="F110" s="4"/>
    </x:row>
    <x:row r="111" ht="21.75" customHeight="1">
      <x:c r="A111" s="2"/>
      <x:c r="B111" s="2"/>
      <x:c r="C111" s="2"/>
      <x:c r="D111" s="2"/>
      <x:c r="E111" s="2"/>
      <x:c r="F111" s="2"/>
    </x:row>
    <x:row r="112" ht="22.5" customHeight="1">
      <x:c r="A112" s="3" t="s">
        <x:v>136</x:v>
      </x:c>
      <x:c r="B112" s="3"/>
      <x:c r="C112" s="3"/>
      <x:c r="D112" s="3"/>
      <x:c r="E112" s="3"/>
      <x:c r="F112" s="3"/>
    </x:row>
    <x:row r="113" ht="22.5" customHeight="1">
      <x:c r="A113" s="3" t="s">
        <x:v>137</x:v>
      </x:c>
      <x:c r="B113" s="3"/>
      <x:c r="C113" s="3"/>
      <x:c r="D113" s="3"/>
      <x:c r="E113" s="3"/>
      <x:c r="F113" s="3"/>
    </x:row>
    <x:row r="114" ht="22.5" customHeight="1">
      <x:c r="A114" s="3" t="s">
        <x:v>138</x:v>
      </x:c>
      <x:c r="B114" s="3"/>
      <x:c r="C114" s="3"/>
      <x:c r="D114" s="3"/>
      <x:c r="E114" s="3"/>
      <x:c r="F114" s="3"/>
    </x:row>
    <x:row r="115" ht="21.75" customHeight="1">
      <x:c r="A115" s="2"/>
      <x:c r="B115" s="2"/>
      <x:c r="C115" s="2"/>
      <x:c r="D115" s="2"/>
      <x:c r="E115" s="2"/>
      <x:c r="F115" s="2"/>
    </x:row>
    <x:row r="116" ht="22.5" customHeight="1">
      <x:c r="A116" s="3" t="s">
        <x:v>139</x:v>
      </x:c>
      <x:c r="B116" s="3"/>
      <x:c r="C116" s="3"/>
      <x:c r="D116" s="3"/>
      <x:c r="E116" s="3"/>
      <x:c r="F116" s="3"/>
    </x:row>
    <x:row r="117" ht="22.5" customHeight="1">
      <x:c r="A117" s="3" t="s">
        <x:v>140</x:v>
      </x:c>
      <x:c r="B117" s="3"/>
      <x:c r="C117" s="3"/>
      <x:c r="D117" s="3"/>
      <x:c r="E117" s="3"/>
      <x:c r="F117" s="3"/>
    </x:row>
    <x:row r="118" ht="22.5" customHeight="1">
      <x:c r="A118" s="3" t="s">
        <x:v>141</x:v>
      </x:c>
      <x:c r="B118" s="3"/>
      <x:c r="C118" s="3"/>
      <x:c r="D118" s="3"/>
      <x:c r="E118" s="3"/>
      <x:c r="F118" s="3"/>
    </x:row>
    <x:row r="119" ht="22.5" customHeight="1">
      <x:c r="A119" s="3" t="s">
        <x:v>142</x:v>
      </x:c>
      <x:c r="B119" s="3"/>
      <x:c r="C119" s="3"/>
      <x:c r="D119" s="3"/>
      <x:c r="E119" s="3"/>
      <x:c r="F119" s="3"/>
    </x:row>
    <x:row r="120" ht="21.75" customHeight="1">
      <x:c r="A120" s="2"/>
      <x:c r="B120" s="2"/>
      <x:c r="C120" s="2"/>
      <x:c r="D120" s="2"/>
      <x:c r="E120" s="2"/>
      <x:c r="F120" s="2"/>
    </x:row>
    <x:row r="121" ht="22.5" customHeight="1">
      <x:c r="A121" s="3" t="s">
        <x:v>143</x:v>
      </x:c>
      <x:c r="B121" s="3"/>
      <x:c r="C121" s="3"/>
      <x:c r="D121" s="3"/>
      <x:c r="E121" s="3"/>
      <x:c r="F121" s="3"/>
    </x:row>
    <x:row r="122" ht="22.5" customHeight="1">
      <x:c r="A122" s="3" t="s">
        <x:v>144</x:v>
      </x:c>
      <x:c r="B122" s="3"/>
      <x:c r="C122" s="3"/>
      <x:c r="D122" s="3"/>
      <x:c r="E122" s="3"/>
      <x:c r="F122" s="3"/>
    </x:row>
    <x:row r="123" ht="22.5" customHeight="1">
      <x:c r="A123" s="3" t="s">
        <x:v>145</x:v>
      </x:c>
      <x:c r="B123" s="3"/>
      <x:c r="C123" s="3"/>
      <x:c r="D123" s="3"/>
      <x:c r="E123" s="3"/>
      <x:c r="F123" s="3"/>
    </x:row>
    <x:row r="124" ht="21.75" customHeight="1">
      <x:c r="A124" s="2"/>
      <x:c r="B124" s="2"/>
      <x:c r="C124" s="2"/>
      <x:c r="D124" s="2"/>
      <x:c r="E124" s="2"/>
      <x:c r="F124" s="2"/>
    </x:row>
    <x:row r="125" ht="22.5" customHeight="1">
      <x:c r="A125" s="3" t="s">
        <x:v>146</x:v>
      </x:c>
      <x:c r="B125" s="3"/>
      <x:c r="C125" s="3"/>
      <x:c r="D125" s="3"/>
      <x:c r="E125" s="3"/>
      <x:c r="F125" s="3"/>
    </x:row>
    <x:row r="126" ht="22.5" customHeight="1">
      <x:c r="A126" s="3" t="s">
        <x:v>147</x:v>
      </x:c>
      <x:c r="B126" s="3"/>
      <x:c r="C126" s="3"/>
      <x:c r="D126" s="3"/>
      <x:c r="E126" s="3"/>
      <x:c r="F126" s="3"/>
    </x:row>
    <x:row r="127" ht="22.5" customHeight="1">
      <x:c r="A127" s="3" t="s">
        <x:v>148</x:v>
      </x:c>
      <x:c r="B127" s="3"/>
      <x:c r="C127" s="3"/>
      <x:c r="D127" s="3"/>
      <x:c r="E127" s="3"/>
      <x:c r="F127" s="3"/>
    </x:row>
    <x:row r="128" ht="21.75" customHeight="1">
      <x:c r="A128" s="2"/>
      <x:c r="B128" s="2"/>
      <x:c r="C128" s="2"/>
      <x:c r="D128" s="2"/>
      <x:c r="E128" s="2"/>
      <x:c r="F128" s="2"/>
    </x:row>
    <x:row r="129" ht="22.5" customHeight="1">
      <x:c r="A129" s="3" t="s">
        <x:v>149</x:v>
      </x:c>
      <x:c r="B129" s="3"/>
      <x:c r="C129" s="3"/>
      <x:c r="D129" s="3"/>
      <x:c r="E129" s="3"/>
      <x:c r="F129" s="3"/>
    </x:row>
    <x:row r="130" ht="22.5" customHeight="1">
      <x:c r="A130" s="3" t="s">
        <x:v>150</x:v>
      </x:c>
      <x:c r="B130" s="3"/>
      <x:c r="C130" s="3"/>
      <x:c r="D130" s="3"/>
      <x:c r="E130" s="3"/>
      <x:c r="F130" s="3"/>
    </x:row>
    <x:row r="131" ht="21.75" customHeight="1">
      <x:c r="A131" s="2"/>
      <x:c r="B131" s="2"/>
      <x:c r="C131" s="2"/>
      <x:c r="D131" s="2"/>
      <x:c r="E131" s="2"/>
      <x:c r="F131" s="2"/>
    </x:row>
    <x:row r="132" ht="21.75" customHeight="1">
      <x:c r="A132" s="2"/>
      <x:c r="B132" s="2"/>
      <x:c r="C132" s="2"/>
      <x:c r="D132" s="2"/>
      <x:c r="E132" s="2"/>
      <x:c r="F132" s="2"/>
    </x:row>
    <x:row r="133" ht="27" customHeight="1">
      <x:c r="A133" s="4" t="s">
        <x:v>151</x:v>
      </x:c>
      <x:c r="B133" s="4"/>
      <x:c r="C133" s="4"/>
      <x:c r="D133" s="4"/>
      <x:c r="E133" s="4"/>
      <x:c r="F133" s="4"/>
    </x:row>
    <x:row r="134" ht="21.75" customHeight="1">
      <x:c r="A134" s="2"/>
      <x:c r="B134" s="2"/>
      <x:c r="C134" s="2"/>
      <x:c r="D134" s="2"/>
      <x:c r="E134" s="2"/>
      <x:c r="F134" s="2"/>
    </x:row>
    <x:row r="135" ht="22.5" customHeight="1">
      <x:c r="A135" s="3" t="s">
        <x:v>152</x:v>
      </x:c>
      <x:c r="B135" s="3"/>
      <x:c r="C135" s="3"/>
      <x:c r="D135" s="3"/>
      <x:c r="E135" s="3"/>
      <x:c r="F135" s="3"/>
    </x:row>
    <x:row r="136" ht="22.5" customHeight="1">
      <x:c r="A136" s="3" t="s">
        <x:v>153</x:v>
      </x:c>
      <x:c r="B136" s="3"/>
      <x:c r="C136" s="3"/>
      <x:c r="D136" s="3"/>
      <x:c r="E136" s="3"/>
      <x:c r="F136" s="3"/>
    </x:row>
    <x:row r="137" ht="21.75" customHeight="1">
      <x:c r="A137" s="2"/>
      <x:c r="B137" s="2"/>
      <x:c r="C137" s="2"/>
      <x:c r="D137" s="2"/>
      <x:c r="E137" s="2"/>
      <x:c r="F137" s="2"/>
    </x:row>
    <x:row r="138" ht="22.5" customHeight="1">
      <x:c r="A138" s="3" t="s">
        <x:v>154</x:v>
      </x:c>
      <x:c r="B138" s="3"/>
      <x:c r="C138" s="3"/>
      <x:c r="D138" s="3"/>
      <x:c r="E138" s="3"/>
      <x:c r="F138" s="3"/>
    </x:row>
    <x:row r="139" ht="22.5" customHeight="1">
      <x:c r="A139" s="3" t="s">
        <x:v>155</x:v>
      </x:c>
      <x:c r="B139" s="3"/>
      <x:c r="C139" s="3"/>
      <x:c r="D139" s="3"/>
      <x:c r="E139" s="3"/>
      <x:c r="F139" s="3"/>
    </x:row>
    <x:row r="140" ht="22.5" customHeight="1">
      <x:c r="A140" s="3" t="s">
        <x:v>156</x:v>
      </x:c>
      <x:c r="B140" s="3"/>
      <x:c r="C140" s="3"/>
      <x:c r="D140" s="3"/>
      <x:c r="E140" s="3"/>
      <x:c r="F140" s="3"/>
    </x:row>
    <x:row r="141" ht="22.5" customHeight="1">
      <x:c r="A141" s="3" t="s">
        <x:v>157</x:v>
      </x:c>
      <x:c r="B141" s="3"/>
      <x:c r="C141" s="3"/>
      <x:c r="D141" s="3"/>
      <x:c r="E141" s="3"/>
      <x:c r="F141" s="3"/>
    </x:row>
    <x:row r="142" ht="21.75" customHeight="1">
      <x:c r="A142" s="2"/>
      <x:c r="B142" s="2"/>
      <x:c r="C142" s="2"/>
      <x:c r="D142" s="2"/>
      <x:c r="E142" s="2"/>
      <x:c r="F142" s="2"/>
    </x:row>
    <x:row r="143" ht="22.5" customHeight="1">
      <x:c r="A143" s="3" t="s">
        <x:v>158</x:v>
      </x:c>
      <x:c r="B143" s="3"/>
      <x:c r="C143" s="3"/>
      <x:c r="D143" s="3"/>
      <x:c r="E143" s="3"/>
      <x:c r="F143" s="3"/>
    </x:row>
    <x:row r="144" ht="22.5" customHeight="1">
      <x:c r="A144" s="3" t="s">
        <x:v>159</x:v>
      </x:c>
      <x:c r="B144" s="3"/>
      <x:c r="C144" s="3"/>
      <x:c r="D144" s="3"/>
      <x:c r="E144" s="3"/>
      <x:c r="F144" s="3"/>
    </x:row>
    <x:row r="145" ht="22.5" customHeight="1">
      <x:c r="A145" s="3" t="s">
        <x:v>160</x:v>
      </x:c>
      <x:c r="B145" s="3"/>
      <x:c r="C145" s="3"/>
      <x:c r="D145" s="3"/>
      <x:c r="E145" s="3"/>
      <x:c r="F145" s="3"/>
    </x:row>
    <x:row r="146" ht="22.5" customHeight="1">
      <x:c r="A146" s="3" t="s">
        <x:v>161</x:v>
      </x:c>
      <x:c r="B146" s="3"/>
      <x:c r="C146" s="3"/>
      <x:c r="D146" s="3"/>
      <x:c r="E146" s="3"/>
      <x:c r="F146" s="3"/>
    </x:row>
    <x:row r="147" ht="21.75" customHeight="1">
      <x:c r="A147" s="2"/>
      <x:c r="B147" s="2"/>
      <x:c r="C147" s="2"/>
      <x:c r="D147" s="2"/>
      <x:c r="E147" s="2"/>
      <x:c r="F147" s="2"/>
    </x:row>
    <x:row r="148" ht="22.5" customHeight="1">
      <x:c r="A148" s="3" t="s">
        <x:v>162</x:v>
      </x:c>
      <x:c r="B148" s="3"/>
      <x:c r="C148" s="3"/>
      <x:c r="D148" s="3"/>
      <x:c r="E148" s="3"/>
      <x:c r="F148" s="3"/>
    </x:row>
    <x:row r="149" ht="22.5" customHeight="1">
      <x:c r="A149" s="3" t="s">
        <x:v>163</x:v>
      </x:c>
      <x:c r="B149" s="3"/>
      <x:c r="C149" s="3"/>
      <x:c r="D149" s="3"/>
      <x:c r="E149" s="3"/>
      <x:c r="F149" s="3"/>
    </x:row>
    <x:row r="150" ht="22.5" customHeight="1">
      <x:c r="A150" s="3" t="s">
        <x:v>164</x:v>
      </x:c>
      <x:c r="B150" s="3"/>
      <x:c r="C150" s="3"/>
      <x:c r="D150" s="3"/>
      <x:c r="E150" s="3"/>
      <x:c r="F150" s="3"/>
    </x:row>
    <x:row r="151" ht="22.5" customHeight="1">
      <x:c r="A151" s="3" t="s">
        <x:v>165</x:v>
      </x:c>
      <x:c r="B151" s="3"/>
      <x:c r="C151" s="3"/>
      <x:c r="D151" s="3"/>
      <x:c r="E151" s="3"/>
      <x:c r="F151" s="3"/>
    </x:row>
    <x:row r="152" ht="22.5" customHeight="1">
      <x:c r="A152" s="3" t="s">
        <x:v>166</x:v>
      </x:c>
      <x:c r="B152" s="3"/>
      <x:c r="C152" s="3"/>
      <x:c r="D152" s="3"/>
      <x:c r="E152" s="3"/>
      <x:c r="F152" s="3"/>
    </x:row>
    <x:row r="153" ht="21.75" customHeight="1">
      <x:c r="A153" s="2"/>
      <x:c r="B153" s="2"/>
      <x:c r="C153" s="2"/>
      <x:c r="D153" s="2"/>
      <x:c r="E153" s="2"/>
      <x:c r="F153" s="2"/>
    </x:row>
    <x:row r="154" ht="22.5" customHeight="1">
      <x:c r="A154" s="3" t="s">
        <x:v>167</x:v>
      </x:c>
      <x:c r="B154" s="3"/>
      <x:c r="C154" s="3"/>
      <x:c r="D154" s="3"/>
      <x:c r="E154" s="3"/>
      <x:c r="F154" s="3"/>
    </x:row>
    <x:row r="155" ht="22.5" customHeight="1">
      <x:c r="A155" s="3" t="s">
        <x:v>168</x:v>
      </x:c>
      <x:c r="B155" s="3"/>
      <x:c r="C155" s="3"/>
      <x:c r="D155" s="3"/>
      <x:c r="E155" s="3"/>
      <x:c r="F155" s="3"/>
    </x:row>
    <x:row r="156" ht="22.5" customHeight="1">
      <x:c r="A156" s="3" t="s">
        <x:v>169</x:v>
      </x:c>
      <x:c r="B156" s="3"/>
      <x:c r="C156" s="3"/>
      <x:c r="D156" s="3"/>
      <x:c r="E156" s="3"/>
      <x:c r="F156" s="3"/>
    </x:row>
    <x:row r="157" ht="21.75" customHeight="1">
      <x:c r="A157" s="2"/>
      <x:c r="B157" s="2"/>
      <x:c r="C157" s="2"/>
      <x:c r="D157" s="2"/>
      <x:c r="E157" s="2"/>
      <x:c r="F157" s="2"/>
    </x:row>
    <x:row r="158" ht="22.5" customHeight="1">
      <x:c r="A158" s="3" t="s">
        <x:v>170</x:v>
      </x:c>
      <x:c r="B158" s="3"/>
      <x:c r="C158" s="3"/>
      <x:c r="D158" s="3"/>
      <x:c r="E158" s="3"/>
      <x:c r="F158" s="3"/>
    </x:row>
    <x:row r="159" ht="22.5" customHeight="1">
      <x:c r="A159" s="3" t="s">
        <x:v>171</x:v>
      </x:c>
      <x:c r="B159" s="3"/>
      <x:c r="C159" s="3"/>
      <x:c r="D159" s="3"/>
      <x:c r="E159" s="3"/>
      <x:c r="F159" s="3"/>
    </x:row>
    <x:row r="160" ht="22.5" customHeight="1">
      <x:c r="A160" s="3" t="s">
        <x:v>172</x:v>
      </x:c>
      <x:c r="B160" s="3"/>
      <x:c r="C160" s="3"/>
      <x:c r="D160" s="3"/>
      <x:c r="E160" s="3"/>
      <x:c r="F160" s="3"/>
    </x:row>
    <x:row r="161" ht="22.5" customHeight="1">
      <x:c r="A161" s="3" t="s">
        <x:v>173</x:v>
      </x:c>
      <x:c r="B161" s="3"/>
      <x:c r="C161" s="3"/>
      <x:c r="D161" s="3"/>
      <x:c r="E161" s="3"/>
      <x:c r="F161" s="3"/>
    </x:row>
    <x:row r="162" ht="21.75" customHeight="1">
      <x:c r="A162" s="2"/>
      <x:c r="B162" s="2"/>
      <x:c r="C162" s="2"/>
      <x:c r="D162" s="2"/>
      <x:c r="E162" s="2"/>
      <x:c r="F162" s="2"/>
    </x:row>
    <x:row r="163" ht="22.5" customHeight="1">
      <x:c r="A163" s="3" t="s">
        <x:v>174</x:v>
      </x:c>
      <x:c r="B163" s="3"/>
      <x:c r="C163" s="3"/>
      <x:c r="D163" s="3"/>
      <x:c r="E163" s="3"/>
      <x:c r="F163" s="3"/>
    </x:row>
    <x:row r="164" ht="22.5" customHeight="1">
      <x:c r="A164" s="3" t="s">
        <x:v>175</x:v>
      </x:c>
      <x:c r="B164" s="3"/>
      <x:c r="C164" s="3"/>
      <x:c r="D164" s="3"/>
      <x:c r="E164" s="3"/>
      <x:c r="F164" s="3"/>
    </x:row>
    <x:row r="165" ht="22.5" customHeight="1">
      <x:c r="A165" s="3" t="s">
        <x:v>176</x:v>
      </x:c>
      <x:c r="B165" s="3"/>
      <x:c r="C165" s="3"/>
      <x:c r="D165" s="3"/>
      <x:c r="E165" s="3"/>
      <x:c r="F165" s="3"/>
    </x:row>
    <x:row r="166" ht="21.75" customHeight="1">
      <x:c r="A166" s="2"/>
      <x:c r="B166" s="2"/>
      <x:c r="C166" s="2"/>
      <x:c r="D166" s="2"/>
      <x:c r="E166" s="2"/>
      <x:c r="F166" s="2"/>
    </x:row>
    <x:row r="167" ht="21.75" customHeight="1">
      <x:c r="A167" s="2"/>
      <x:c r="B167" s="2"/>
      <x:c r="C167" s="2"/>
      <x:c r="D167" s="2"/>
      <x:c r="E167" s="2"/>
      <x:c r="F167" s="2"/>
    </x:row>
    <x:row r="168" ht="27" customHeight="1">
      <x:c r="A168" s="4" t="s">
        <x:v>177</x:v>
      </x:c>
      <x:c r="B168" s="4"/>
      <x:c r="C168" s="4"/>
      <x:c r="D168" s="4"/>
      <x:c r="E168" s="4"/>
      <x:c r="F168" s="4"/>
    </x:row>
    <x:row r="169" ht="21.75" customHeight="1">
      <x:c r="A169" s="2"/>
      <x:c r="B169" s="2"/>
      <x:c r="C169" s="2"/>
      <x:c r="D169" s="2"/>
      <x:c r="E169" s="2"/>
      <x:c r="F169" s="2"/>
    </x:row>
    <x:row r="170" ht="22.5" customHeight="1">
      <x:c r="A170" s="3" t="s">
        <x:v>178</x:v>
      </x:c>
      <x:c r="B170" s="3"/>
      <x:c r="C170" s="3"/>
      <x:c r="D170" s="3"/>
      <x:c r="E170" s="3"/>
      <x:c r="F170" s="3"/>
    </x:row>
    <x:row r="171" ht="22.5" customHeight="1">
      <x:c r="A171" s="3" t="s">
        <x:v>179</x:v>
      </x:c>
      <x:c r="B171" s="3"/>
      <x:c r="C171" s="3"/>
      <x:c r="D171" s="3"/>
      <x:c r="E171" s="3"/>
      <x:c r="F171" s="3"/>
    </x:row>
    <x:row r="172" ht="21.75" customHeight="1">
      <x:c r="A172" s="2"/>
      <x:c r="B172" s="2"/>
      <x:c r="C172" s="2"/>
      <x:c r="D172" s="2"/>
      <x:c r="E172" s="2"/>
      <x:c r="F172" s="2"/>
    </x:row>
    <x:row r="173" ht="27" customHeight="1">
      <x:c r="A173" s="4" t="s">
        <x:v>99</x:v>
      </x:c>
      <x:c r="B173" s="4"/>
      <x:c r="C173" s="4"/>
      <x:c r="D173" s="4"/>
      <x:c r="E173" s="4"/>
      <x:c r="F173" s="4"/>
    </x:row>
    <x:row r="174" ht="48.75" customHeight="1">
      <x:c r="A174" s="5" t="s">
        <x:v>100</x:v>
      </x:c>
      <x:c r="B174" s="5" t="s">
        <x:v>180</x:v>
      </x:c>
      <x:c r="C174" s="5" t="s">
        <x:v>181</x:v>
      </x:c>
      <x:c r="D174" s="2"/>
      <x:c r="E174" s="2"/>
      <x:c r="F174" s="2"/>
    </x:row>
    <x:row r="175" ht="42" customHeight="1">
      <x:c r="A175" s="15" t="s">
        <x:v>182</x:v>
      </x:c>
      <x:c r="B175" s="15" t="s">
        <x:v>183</x:v>
      </x:c>
      <x:c r="C175" s="15" t="s">
        <x:v>184</x:v>
      </x:c>
      <x:c r="D175" s="2"/>
      <x:c r="E175" s="2"/>
      <x:c r="F175" s="2"/>
    </x:row>
    <x:row r="176" ht="57" customHeight="1">
      <x:c r="A176" s="15" t="s">
        <x:v>185</x:v>
      </x:c>
      <x:c r="B176" s="15" t="s">
        <x:v>186</x:v>
      </x:c>
      <x:c r="C176" s="15" t="s">
        <x:v>187</x:v>
      </x:c>
      <x:c r="D176" s="2"/>
      <x:c r="E176" s="2"/>
      <x:c r="F176" s="2"/>
    </x:row>
    <x:row r="177" ht="42" customHeight="1">
      <x:c r="A177" s="15" t="s">
        <x:v>188</x:v>
      </x:c>
      <x:c r="B177" s="15" t="s">
        <x:v>189</x:v>
      </x:c>
      <x:c r="C177" s="15" t="s">
        <x:v>184</x:v>
      </x:c>
      <x:c r="D177" s="2"/>
      <x:c r="E177" s="2"/>
      <x:c r="F177" s="2"/>
    </x:row>
    <x:row r="178" ht="42" customHeight="1">
      <x:c r="A178" s="15" t="s">
        <x:v>190</x:v>
      </x:c>
      <x:c r="B178" s="15" t="s">
        <x:v>191</x:v>
      </x:c>
      <x:c r="C178" s="15" t="s">
        <x:v>192</x:v>
      </x:c>
      <x:c r="D178" s="2"/>
      <x:c r="E178" s="2"/>
      <x:c r="F178" s="2"/>
    </x:row>
    <x:row r="179" ht="42" customHeight="1">
      <x:c r="A179" s="15" t="s">
        <x:v>193</x:v>
      </x:c>
      <x:c r="B179" s="15" t="s">
        <x:v>194</x:v>
      </x:c>
      <x:c r="C179" s="15" t="s">
        <x:v>195</x:v>
      </x:c>
      <x:c r="D179" s="2"/>
      <x:c r="E179" s="2"/>
      <x:c r="F179" s="2"/>
    </x:row>
    <x:row r="180" ht="57" customHeight="1">
      <x:c r="A180" s="15" t="s">
        <x:v>196</x:v>
      </x:c>
      <x:c r="B180" s="15" t="s">
        <x:v>197</x:v>
      </x:c>
      <x:c r="C180" s="15" t="s">
        <x:v>184</x:v>
      </x:c>
      <x:c r="D180" s="2"/>
      <x:c r="E180" s="2"/>
      <x:c r="F180" s="2"/>
    </x:row>
    <x:row r="181" ht="21.75" customHeight="1">
      <x:c r="A181" s="2"/>
      <x:c r="B181" s="2"/>
      <x:c r="C181" s="2"/>
      <x:c r="D181" s="2"/>
      <x:c r="E181" s="2"/>
      <x:c r="F181" s="2"/>
    </x:row>
    <x:row r="182" ht="21.75" customHeight="1">
      <x:c r="A182" s="2"/>
      <x:c r="B182" s="2"/>
      <x:c r="C182" s="2"/>
      <x:c r="D182" s="2"/>
      <x:c r="E182" s="2"/>
      <x:c r="F182" s="2"/>
    </x:row>
    <x:row r="183" ht="21.75" customHeight="1">
      <x:c r="A183" s="2"/>
      <x:c r="B183" s="2"/>
      <x:c r="C183" s="2"/>
      <x:c r="D183" s="2"/>
      <x:c r="E183" s="2"/>
      <x:c r="F183" s="2"/>
    </x:row>
    <x:row r="184" ht="22.5" customHeight="1">
      <x:c r="A184" s="3" t="s">
        <x:v>198</x:v>
      </x:c>
      <x:c r="B184" s="3"/>
      <x:c r="C184" s="3"/>
      <x:c r="D184" s="3"/>
      <x:c r="E184" s="3"/>
      <x:c r="F184" s="3"/>
    </x:row>
    <x:row r="185" ht="22.5" customHeight="1">
      <x:c r="A185" s="3" t="s">
        <x:v>199</x:v>
      </x:c>
      <x:c r="B185" s="3"/>
      <x:c r="C185" s="3"/>
      <x:c r="D185" s="3"/>
      <x:c r="E185" s="3"/>
      <x:c r="F185" s="3"/>
    </x:row>
    <x:row r="186" ht="22.5" customHeight="1">
      <x:c r="A186" s="3" t="s">
        <x:v>200</x:v>
      </x:c>
      <x:c r="B186" s="3"/>
      <x:c r="C186" s="3"/>
      <x:c r="D186" s="3"/>
      <x:c r="E186" s="3"/>
      <x:c r="F186" s="3"/>
    </x:row>
    <x:row r="187" ht="21.75" customHeight="1">
      <x:c r="A187" s="2"/>
      <x:c r="B187" s="2"/>
      <x:c r="C187" s="2"/>
      <x:c r="D187" s="2"/>
      <x:c r="E187" s="2"/>
      <x:c r="F187" s="2"/>
    </x:row>
    <x:row r="188" ht="21.75" customHeight="1">
      <x:c r="A188" s="2"/>
      <x:c r="B188" s="2"/>
      <x:c r="C188" s="2"/>
      <x:c r="D188" s="2"/>
      <x:c r="E188" s="2"/>
      <x:c r="F188" s="2"/>
    </x:row>
    <x:row r="189" ht="27" customHeight="1">
      <x:c r="A189" s="4" t="s">
        <x:v>201</x:v>
      </x:c>
      <x:c r="B189" s="4"/>
      <x:c r="C189" s="4"/>
      <x:c r="D189" s="4"/>
      <x:c r="E189" s="4"/>
      <x:c r="F189" s="4"/>
    </x:row>
    <x:row r="190" ht="21.75" customHeight="1">
      <x:c r="A190" s="2"/>
      <x:c r="B190" s="2"/>
      <x:c r="C190" s="2"/>
      <x:c r="D190" s="2"/>
      <x:c r="E190" s="2"/>
      <x:c r="F190" s="2"/>
    </x:row>
    <x:row r="191" ht="22.5" customHeight="1">
      <x:c r="A191" s="3" t="s">
        <x:v>202</x:v>
      </x:c>
      <x:c r="B191" s="3"/>
      <x:c r="C191" s="3"/>
      <x:c r="D191" s="3"/>
      <x:c r="E191" s="3"/>
      <x:c r="F191" s="3"/>
    </x:row>
    <x:row r="192" ht="22.5" customHeight="1">
      <x:c r="A192" s="3" t="s">
        <x:v>203</x:v>
      </x:c>
      <x:c r="B192" s="3"/>
      <x:c r="C192" s="3"/>
      <x:c r="D192" s="3"/>
      <x:c r="E192" s="3"/>
      <x:c r="F192" s="3"/>
    </x:row>
    <x:row r="193" ht="21.75" customHeight="1">
      <x:c r="A193" s="2"/>
      <x:c r="B193" s="2"/>
      <x:c r="C193" s="2"/>
      <x:c r="D193" s="2"/>
      <x:c r="E193" s="2"/>
      <x:c r="F193" s="2"/>
    </x:row>
    <x:row r="194" ht="22.5" customHeight="1">
      <x:c r="A194" s="3" t="s">
        <x:v>204</x:v>
      </x:c>
      <x:c r="B194" s="3"/>
      <x:c r="C194" s="3"/>
      <x:c r="D194" s="3"/>
      <x:c r="E194" s="3"/>
      <x:c r="F194" s="3"/>
    </x:row>
    <x:row r="195" ht="22.5" customHeight="1">
      <x:c r="A195" s="3" t="s">
        <x:v>205</x:v>
      </x:c>
      <x:c r="B195" s="3"/>
      <x:c r="C195" s="3"/>
      <x:c r="D195" s="3"/>
      <x:c r="E195" s="3"/>
      <x:c r="F195" s="3"/>
    </x:row>
    <x:row r="196" ht="22.5" customHeight="1">
      <x:c r="A196" s="3" t="s">
        <x:v>206</x:v>
      </x:c>
      <x:c r="B196" s="3"/>
      <x:c r="C196" s="3"/>
      <x:c r="D196" s="3"/>
      <x:c r="E196" s="3"/>
      <x:c r="F196" s="3"/>
    </x:row>
    <x:row r="197" ht="21.75" customHeight="1">
      <x:c r="A197" s="2"/>
      <x:c r="B197" s="2"/>
      <x:c r="C197" s="2"/>
      <x:c r="D197" s="2"/>
      <x:c r="E197" s="2"/>
      <x:c r="F197" s="2"/>
    </x:row>
    <x:row r="198" ht="22.5" customHeight="1">
      <x:c r="A198" s="3" t="s">
        <x:v>207</x:v>
      </x:c>
      <x:c r="B198" s="3"/>
      <x:c r="C198" s="3"/>
      <x:c r="D198" s="3"/>
      <x:c r="E198" s="3"/>
      <x:c r="F198" s="3"/>
    </x:row>
    <x:row r="199" ht="22.5" customHeight="1">
      <x:c r="A199" s="3" t="s">
        <x:v>208</x:v>
      </x:c>
      <x:c r="B199" s="3"/>
      <x:c r="C199" s="3"/>
      <x:c r="D199" s="3"/>
      <x:c r="E199" s="3"/>
      <x:c r="F199" s="3"/>
    </x:row>
    <x:row r="200" ht="22.5" customHeight="1">
      <x:c r="A200" s="3" t="s">
        <x:v>209</x:v>
      </x:c>
      <x:c r="B200" s="3"/>
      <x:c r="C200" s="3"/>
      <x:c r="D200" s="3"/>
      <x:c r="E200" s="3"/>
      <x:c r="F200" s="3"/>
    </x:row>
    <x:row r="201" ht="21.75" customHeight="1">
      <x:c r="A201" s="2"/>
      <x:c r="B201" s="2"/>
      <x:c r="C201" s="2"/>
      <x:c r="D201" s="2"/>
      <x:c r="E201" s="2"/>
      <x:c r="F201" s="2"/>
    </x:row>
    <x:row r="202" ht="21.75" customHeight="1">
      <x:c r="A202" s="2"/>
      <x:c r="B202" s="2"/>
      <x:c r="C202" s="2"/>
      <x:c r="D202" s="2"/>
      <x:c r="E202" s="2"/>
      <x:c r="F202" s="2"/>
    </x:row>
    <x:row r="203" ht="27" customHeight="1">
      <x:c r="A203" s="4" t="s">
        <x:v>210</x:v>
      </x:c>
      <x:c r="B203" s="4"/>
      <x:c r="C203" s="4"/>
      <x:c r="D203" s="4"/>
      <x:c r="E203" s="4"/>
      <x:c r="F203" s="4"/>
    </x:row>
    <x:row r="204" ht="21.75" customHeight="1">
      <x:c r="A204" s="2"/>
      <x:c r="B204" s="2"/>
      <x:c r="C204" s="2"/>
      <x:c r="D204" s="2"/>
      <x:c r="E204" s="2"/>
      <x:c r="F204" s="2"/>
    </x:row>
    <x:row r="205" ht="27" customHeight="1">
      <x:c r="A205" s="4" t="s">
        <x:v>99</x:v>
      </x:c>
      <x:c r="B205" s="4"/>
      <x:c r="C205" s="4"/>
      <x:c r="D205" s="4"/>
      <x:c r="E205" s="4"/>
      <x:c r="F205" s="4"/>
    </x:row>
    <x:row r="206" ht="48.75" customHeight="1">
      <x:c r="A206" s="5" t="s">
        <x:v>211</x:v>
      </x:c>
      <x:c r="B206" s="5" t="s">
        <x:v>212</x:v>
      </x:c>
      <x:c r="C206" s="2"/>
      <x:c r="D206" s="2"/>
      <x:c r="E206" s="2"/>
      <x:c r="F206" s="2"/>
    </x:row>
    <x:row r="207" ht="42" customHeight="1">
      <x:c r="A207" s="15" t="s">
        <x:v>213</x:v>
      </x:c>
      <x:c r="B207" s="15" t="s">
        <x:v>214</x:v>
      </x:c>
      <x:c r="C207" s="2"/>
      <x:c r="D207" s="2"/>
      <x:c r="E207" s="2"/>
      <x:c r="F207" s="2"/>
    </x:row>
    <x:row r="208" ht="57" customHeight="1">
      <x:c r="A208" s="15" t="s">
        <x:v>215</x:v>
      </x:c>
      <x:c r="B208" s="15" t="s">
        <x:v>216</x:v>
      </x:c>
      <x:c r="C208" s="2"/>
      <x:c r="D208" s="2"/>
      <x:c r="E208" s="2"/>
      <x:c r="F208" s="2"/>
    </x:row>
    <x:row r="209" ht="42" customHeight="1">
      <x:c r="A209" s="15" t="s">
        <x:v>217</x:v>
      </x:c>
      <x:c r="B209" s="15" t="s">
        <x:v>218</x:v>
      </x:c>
      <x:c r="C209" s="2"/>
      <x:c r="D209" s="2"/>
      <x:c r="E209" s="2"/>
      <x:c r="F209" s="2"/>
    </x:row>
    <x:row r="210" ht="42" customHeight="1">
      <x:c r="A210" s="15" t="s">
        <x:v>219</x:v>
      </x:c>
      <x:c r="B210" s="15" t="s">
        <x:v>220</x:v>
      </x:c>
      <x:c r="C210" s="2"/>
      <x:c r="D210" s="2"/>
      <x:c r="E210" s="2"/>
      <x:c r="F210" s="2"/>
    </x:row>
    <x:row r="211" ht="42" customHeight="1">
      <x:c r="A211" s="15" t="s">
        <x:v>221</x:v>
      </x:c>
      <x:c r="B211" s="15" t="s">
        <x:v>222</x:v>
      </x:c>
      <x:c r="C211" s="2"/>
      <x:c r="D211" s="2"/>
      <x:c r="E211" s="2"/>
      <x:c r="F211" s="2"/>
    </x:row>
    <x:row r="212" ht="42" customHeight="1">
      <x:c r="A212" s="15" t="s">
        <x:v>223</x:v>
      </x:c>
      <x:c r="B212" s="15" t="s">
        <x:v>224</x:v>
      </x:c>
      <x:c r="C212" s="2"/>
      <x:c r="D212" s="2"/>
      <x:c r="E212" s="2"/>
      <x:c r="F212" s="2"/>
    </x:row>
    <x:row r="213" ht="42" customHeight="1">
      <x:c r="A213" s="15" t="s">
        <x:v>225</x:v>
      </x:c>
      <x:c r="B213" s="15" t="s">
        <x:v>226</x:v>
      </x:c>
      <x:c r="C213" s="2"/>
      <x:c r="D213" s="2"/>
      <x:c r="E213" s="2"/>
      <x:c r="F213" s="2"/>
    </x:row>
    <x:row r="214" ht="42" customHeight="1">
      <x:c r="A214" s="15" t="s">
        <x:v>227</x:v>
      </x:c>
      <x:c r="B214" s="15" t="s">
        <x:v>228</x:v>
      </x:c>
      <x:c r="C214" s="2"/>
      <x:c r="D214" s="2"/>
      <x:c r="E214" s="2"/>
      <x:c r="F214" s="2"/>
    </x:row>
    <x:row r="215" ht="42" customHeight="1">
      <x:c r="A215" s="15" t="s">
        <x:v>229</x:v>
      </x:c>
      <x:c r="B215" s="15" t="s">
        <x:v>230</x:v>
      </x:c>
      <x:c r="C215" s="2"/>
      <x:c r="D215" s="2"/>
      <x:c r="E215" s="2"/>
      <x:c r="F215" s="2"/>
    </x:row>
    <x:row r="216" ht="42" customHeight="1">
      <x:c r="A216" s="15" t="s">
        <x:v>231</x:v>
      </x:c>
      <x:c r="B216" s="15" t="s">
        <x:v>232</x:v>
      </x:c>
      <x:c r="C216" s="2"/>
      <x:c r="D216" s="2"/>
      <x:c r="E216" s="2"/>
      <x:c r="F216" s="2"/>
    </x:row>
    <x:row r="217" ht="21.75" customHeight="1">
      <x:c r="A217" s="2"/>
      <x:c r="B217" s="2"/>
      <x:c r="C217" s="2"/>
      <x:c r="D217" s="2"/>
      <x:c r="E217" s="2"/>
      <x:c r="F217" s="2"/>
    </x:row>
    <x:row r="218" ht="21.75" customHeight="1">
      <x:c r="A218" s="2"/>
      <x:c r="B218" s="2"/>
      <x:c r="C218" s="2"/>
      <x:c r="D218" s="2"/>
      <x:c r="E218" s="2"/>
      <x:c r="F218" s="2"/>
    </x:row>
    <x:row r="219" ht="21.75" customHeight="1">
      <x:c r="A219" s="2"/>
      <x:c r="B219" s="2"/>
      <x:c r="C219" s="2"/>
      <x:c r="D219" s="2"/>
      <x:c r="E219" s="2"/>
      <x:c r="F219" s="2"/>
    </x:row>
    <x:row r="220" ht="22.5" customHeight="1">
      <x:c r="A220" s="3" t="s">
        <x:v>233</x:v>
      </x:c>
      <x:c r="B220" s="3"/>
      <x:c r="C220" s="3"/>
      <x:c r="D220" s="3"/>
      <x:c r="E220" s="3"/>
      <x:c r="F220" s="3"/>
    </x:row>
    <x:row r="221" ht="22.5" customHeight="1">
      <x:c r="A221" s="3" t="s">
        <x:v>234</x:v>
      </x:c>
      <x:c r="B221" s="3"/>
      <x:c r="C221" s="3"/>
      <x:c r="D221" s="3"/>
      <x:c r="E221" s="3"/>
      <x:c r="F221" s="3"/>
    </x:row>
    <x:row r="222" ht="21.75" customHeight="1">
      <x:c r="A222" s="2"/>
      <x:c r="B222" s="2"/>
      <x:c r="C222" s="2"/>
      <x:c r="D222" s="2"/>
      <x:c r="E222" s="2"/>
      <x:c r="F222" s="2"/>
    </x:row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21.75" customHeight="1"/>
    <x:row r="277" ht="21.75" customHeight="1"/>
    <x:row r="278" ht="21.75" customHeight="1"/>
    <x:row r="279" ht="21.75" customHeight="1"/>
    <x:row r="280" ht="21.75" customHeight="1"/>
    <x:row r="281" ht="21.75" customHeight="1"/>
    <x:row r="282" ht="21.75" customHeight="1"/>
    <x:row r="283" ht="21.75" customHeight="1"/>
    <x:row r="284" ht="21.75" customHeight="1"/>
    <x:row r="285" ht="21.75" customHeight="1"/>
    <x:row r="286" ht="21.75" customHeight="1"/>
    <x:row r="287" ht="21.75" customHeight="1"/>
    <x:row r="288" ht="21.75" customHeight="1"/>
    <x:row r="289" ht="21.75" customHeight="1"/>
    <x:row r="290" ht="21.75" customHeight="1"/>
    <x:row r="291" ht="21.75" customHeight="1"/>
    <x:row r="292" ht="21.75" customHeight="1"/>
    <x:row r="293" ht="21.75" customHeight="1"/>
    <x:row r="294" ht="21.75" customHeight="1"/>
    <x:row r="295" ht="21.75" customHeight="1"/>
    <x:row r="296" ht="21.75" customHeight="1"/>
    <x:row r="297" ht="21.75" customHeight="1"/>
    <x:row r="298" ht="21.75" customHeight="1"/>
    <x:row r="299" ht="21.75" customHeight="1"/>
    <x:row r="300" ht="21.75" customHeight="1"/>
    <x:row r="301" ht="21.75" customHeight="1"/>
    <x:row r="302" ht="21.75" customHeight="1"/>
    <x:row r="303" ht="21.75" customHeight="1"/>
    <x:row r="304" ht="21.75" customHeight="1"/>
    <x:row r="305" ht="21.75" customHeight="1"/>
    <x:row r="306" ht="21.75" customHeight="1"/>
    <x:row r="307" ht="21.75" customHeight="1"/>
    <x:row r="308" ht="21.75" customHeight="1"/>
    <x:row r="309" ht="21.75" customHeight="1"/>
    <x:row r="310" ht="21.75" customHeight="1"/>
    <x:row r="311" ht="21.75" customHeight="1"/>
    <x:row r="312" ht="21.75" customHeight="1"/>
    <x:row r="313" ht="21.75" customHeight="1"/>
    <x:row r="314" ht="21.75" customHeight="1"/>
    <x:row r="315" ht="21.75" customHeight="1"/>
    <x:row r="316" ht="21.75" customHeight="1"/>
    <x:row r="317" ht="21.75" customHeight="1"/>
    <x:row r="318" ht="21.75" customHeight="1"/>
    <x:row r="319" ht="21.75" customHeight="1"/>
    <x:row r="320" ht="21.75" customHeight="1"/>
    <x:row r="321" ht="21.75" customHeight="1"/>
    <x:row r="322" ht="21.75" customHeight="1"/>
    <x:row r="323" ht="21.75" customHeight="1"/>
    <x:row r="324" ht="21.75" customHeight="1"/>
    <x:row r="325" ht="21.75" customHeight="1"/>
    <x:row r="326" ht="21.75" customHeight="1"/>
    <x:row r="327" ht="21.75" customHeight="1"/>
    <x:row r="328" ht="21.75" customHeight="1"/>
    <x:row r="329" ht="21.75" customHeight="1"/>
    <x:row r="330" ht="21.75" customHeight="1"/>
    <x:row r="331" ht="21.75" customHeight="1"/>
    <x:row r="332" ht="21.75" customHeight="1"/>
    <x:row r="333" ht="21.75" customHeight="1"/>
    <x:row r="334" ht="21.75" customHeight="1"/>
    <x:row r="335" ht="21.75" customHeight="1"/>
    <x:row r="336" ht="21.75" customHeight="1"/>
    <x:row r="337" ht="21.75" customHeight="1"/>
    <x:row r="338" ht="21.75" customHeight="1"/>
    <x:row r="339" ht="21.75" customHeight="1"/>
    <x:row r="340" ht="21.75" customHeight="1"/>
    <x:row r="341" ht="21.75" customHeight="1"/>
    <x:row r="342" ht="21.75" customHeight="1"/>
    <x:row r="343" ht="21.75" customHeight="1"/>
    <x:row r="344" ht="21.75" customHeight="1"/>
    <x:row r="345" ht="21.75" customHeight="1"/>
    <x:row r="346" ht="21.75" customHeight="1"/>
    <x:row r="347" ht="21.75" customHeight="1"/>
    <x:row r="348" ht="21.75" customHeight="1"/>
    <x:row r="349" ht="21.75" customHeight="1"/>
    <x:row r="350" ht="21.75" customHeight="1"/>
    <x:row r="351" ht="21.75" customHeight="1"/>
    <x:row r="352" ht="21.75" customHeight="1"/>
    <x:row r="353" ht="21.75" customHeight="1"/>
    <x:row r="354" ht="21.75" customHeight="1"/>
    <x:row r="355" ht="21.75" customHeight="1"/>
    <x:row r="356" ht="21.75" customHeight="1"/>
    <x:row r="357" ht="21.75" customHeight="1"/>
    <x:row r="358" ht="21.75" customHeight="1"/>
    <x:row r="359" ht="21.75" customHeight="1"/>
    <x:row r="360" ht="21.75" customHeight="1"/>
    <x:row r="361" ht="21.75" customHeight="1"/>
    <x:row r="362" ht="21.75" customHeight="1"/>
    <x:row r="363" ht="21.75" customHeight="1"/>
    <x:row r="364" ht="21.75" customHeight="1"/>
    <x:row r="365" ht="21.75" customHeight="1"/>
    <x:row r="366" ht="21.75" customHeight="1"/>
    <x:row r="367" ht="21.75" customHeight="1"/>
    <x:row r="368" ht="21.75" customHeight="1"/>
    <x:row r="369" ht="21.75" customHeight="1"/>
    <x:row r="370" ht="21.75" customHeight="1"/>
    <x:row r="371" ht="21.75" customHeight="1"/>
    <x:row r="372" ht="21.75" customHeight="1"/>
    <x:row r="373" ht="21.75" customHeight="1"/>
    <x:row r="374" ht="21.75" customHeight="1"/>
    <x:row r="375" ht="21.75" customHeight="1"/>
    <x:row r="376" ht="21.75" customHeight="1"/>
    <x:row r="377" ht="21.75" customHeight="1"/>
    <x:row r="378" ht="21.75" customHeight="1"/>
    <x:row r="379" ht="21.75" customHeight="1"/>
    <x:row r="380" ht="21.75" customHeight="1"/>
    <x:row r="381" ht="21.75" customHeight="1"/>
    <x:row r="382" ht="21.75" customHeight="1"/>
    <x:row r="383" ht="21.75" customHeight="1"/>
    <x:row r="384" ht="21.75" customHeight="1"/>
    <x:row r="385" ht="21.75" customHeight="1"/>
    <x:row r="386" ht="21.75" customHeight="1"/>
    <x:row r="387" ht="21.75" customHeight="1"/>
    <x:row r="388" ht="21.75" customHeight="1"/>
    <x:row r="389" ht="21.75" customHeight="1"/>
    <x:row r="390" ht="21.75" customHeight="1"/>
    <x:row r="391" ht="21.75" customHeight="1"/>
    <x:row r="392" ht="21.75" customHeight="1"/>
    <x:row r="393" ht="21.75" customHeight="1"/>
    <x:row r="394" ht="21.75" customHeight="1"/>
    <x:row r="395" ht="21.75" customHeight="1"/>
    <x:row r="396" ht="21.75" customHeight="1"/>
    <x:row r="397" ht="21.75" customHeight="1"/>
    <x:row r="398" ht="21.75" customHeight="1"/>
    <x:row r="399" ht="21.75" customHeight="1"/>
    <x:row r="400" ht="21.75" customHeight="1"/>
    <x:row r="401" ht="21.75" customHeight="1"/>
    <x:row r="402" ht="21.75" customHeight="1"/>
    <x:row r="403" ht="21.75" customHeight="1"/>
    <x:row r="404" ht="21.75" customHeight="1"/>
    <x:row r="405" ht="21.75" customHeight="1"/>
    <x:row r="406" ht="21.75" customHeight="1"/>
    <x:row r="407" ht="21.75" customHeight="1"/>
    <x:row r="408" ht="21.75" customHeight="1"/>
    <x:row r="409" ht="21.75" customHeight="1"/>
    <x:row r="410" ht="21.75" customHeight="1"/>
    <x:row r="411" ht="21.75" customHeight="1"/>
    <x:row r="412" ht="21.75" customHeight="1"/>
    <x:row r="413" ht="21.75" customHeight="1"/>
    <x:row r="414" ht="21.75" customHeight="1"/>
    <x:row r="415" ht="21.75" customHeight="1"/>
    <x:row r="416" ht="21.75" customHeight="1"/>
    <x:row r="417" ht="21.75" customHeight="1"/>
    <x:row r="418" ht="21.75" customHeight="1"/>
    <x:row r="419" ht="21.75" customHeight="1"/>
    <x:row r="420" ht="21.75" customHeight="1"/>
    <x:row r="421" ht="21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7" customWidth="1"/>
    <x:col min="2" max="2" width="31" customWidth="1"/>
    <x:col min="3" max="5" width="27" customWidth="1"/>
    <x:col min="6" max="6" width="29" customWidth="1"/>
    <x:col min="7" max="26" width="8.630000114440918" customWidth="1"/>
  </x:cols>
  <x:sheetData>
    <x:row r="1" ht="28.5" customHeight="1">
      <x:c r="A1" s="1" t="s">
        <x:v>235</x:v>
      </x:c>
      <x:c r="B1" s="1"/>
      <x:c r="C1" s="1"/>
      <x:c r="D1" s="1"/>
      <x:c r="E1" s="1"/>
      <x:c r="F1" s="1"/>
    </x:row>
    <x:row r="2" ht="21.75" customHeight="1">
      <x:c r="A2" s="2"/>
      <x:c r="B2" s="2"/>
      <x:c r="C2" s="2"/>
      <x:c r="D2" s="2"/>
      <x:c r="E2" s="2"/>
      <x:c r="F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  <x:c r="F3" s="2"/>
    </x:row>
    <x:row r="4" ht="26.25" customHeight="1">
      <x:c r="A4" s="11" t="s">
        <x:v>237</x:v>
      </x:c>
      <x:c r="F4" s="12"/>
    </x:row>
    <x:row r="5" ht="22.5" customHeight="1">
      <x:c r="A5" s="10" t="s">
        <x:v>238</x:v>
      </x:c>
      <x:c r="B5" s="10"/>
      <x:c r="C5" s="10"/>
      <x:c r="D5" s="10"/>
      <x:c r="E5" s="10"/>
      <x:c r="F5" s="10"/>
    </x:row>
    <x:row r="6" ht="22.5" customHeight="1">
      <x:c r="A6" s="3" t="s">
        <x:v>239</x:v>
      </x:c>
      <x:c r="B6" s="3"/>
      <x:c r="C6" s="3"/>
      <x:c r="D6" s="3"/>
      <x:c r="E6" s="3"/>
      <x:c r="F6" s="3"/>
    </x:row>
    <x:row r="7" ht="22.5" customHeight="1">
      <x:c r="A7" s="3" t="s">
        <x:v>240</x:v>
      </x:c>
      <x:c r="B7" s="3"/>
      <x:c r="C7" s="3"/>
      <x:c r="D7" s="3"/>
      <x:c r="E7" s="3"/>
      <x:c r="F7" s="3"/>
    </x:row>
    <x:row r="8" ht="22.5" customHeight="1">
      <x:c r="A8" s="3" t="s">
        <x:v>241</x:v>
      </x:c>
      <x:c r="B8" s="3"/>
      <x:c r="C8" s="3"/>
      <x:c r="D8" s="3"/>
      <x:c r="E8" s="3"/>
      <x:c r="F8" s="3"/>
    </x:row>
    <x:row r="9" ht="22.5" customHeight="1">
      <x:c r="A9" s="3" t="s">
        <x:v>242</x:v>
      </x:c>
      <x:c r="B9" s="3"/>
      <x:c r="C9" s="3"/>
      <x:c r="D9" s="3"/>
      <x:c r="E9" s="3"/>
      <x:c r="F9" s="3"/>
    </x:row>
    <x:row r="10" ht="22.5" customHeight="1">
      <x:c r="A10" s="3" t="s">
        <x:v>243</x:v>
      </x:c>
      <x:c r="B10" s="3"/>
      <x:c r="C10" s="3"/>
      <x:c r="D10" s="3"/>
      <x:c r="E10" s="3"/>
      <x:c r="F10" s="3"/>
    </x:row>
    <x:row r="11" ht="93.75" customHeight="1">
      <x:c r="A11" s="11" t="s">
        <x:v>244</x:v>
      </x:c>
      <x:c r="F11" s="12"/>
    </x:row>
    <x:row r="12" ht="22.5" customHeight="1">
      <x:c r="A12" s="3" t="s">
        <x:v>245</x:v>
      </x:c>
      <x:c r="B12" s="3"/>
      <x:c r="C12" s="3"/>
      <x:c r="D12" s="3"/>
      <x:c r="E12" s="3"/>
      <x:c r="F12" s="3"/>
    </x:row>
    <x:row r="13" ht="27" customHeight="1">
      <x:c r="A13" s="4" t="s">
        <x:v>246</x:v>
      </x:c>
      <x:c r="B13" s="4"/>
      <x:c r="C13" s="4"/>
      <x:c r="D13" s="4"/>
      <x:c r="E13" s="4"/>
      <x:c r="F13" s="4"/>
    </x:row>
    <x:row r="14" ht="48.75" customHeight="1">
      <x:c r="A14" s="5" t="s">
        <x:v>247</x:v>
      </x:c>
      <x:c r="B14" s="5" t="s">
        <x:v>248</x:v>
      </x:c>
      <x:c r="C14" s="5" t="s">
        <x:v>249</x:v>
      </x:c>
      <x:c r="D14" s="5" t="s">
        <x:v>250</x:v>
      </x:c>
      <x:c r="E14" s="2"/>
      <x:c r="F14" s="2"/>
    </x:row>
    <x:row r="15" ht="79.5" customHeight="1">
      <x:c r="A15" s="7" t="s">
        <x:v>251</x:v>
      </x:c>
      <x:c r="B15" s="16"/>
      <x:c r="C15" s="16"/>
      <x:c r="D15" s="16"/>
      <x:c r="E15" s="2"/>
      <x:c r="F15" s="2"/>
    </x:row>
    <x:row r="16" ht="79.5" customHeight="1">
      <x:c r="A16" s="7" t="s">
        <x:v>252</x:v>
      </x:c>
      <x:c r="B16" s="16"/>
      <x:c r="C16" s="16"/>
      <x:c r="D16" s="16"/>
      <x:c r="E16" s="2"/>
      <x:c r="F16" s="2"/>
    </x:row>
    <x:row r="17" ht="79.5" customHeight="1">
      <x:c r="A17" s="7" t="s">
        <x:v>253</x:v>
      </x:c>
      <x:c r="B17" s="16"/>
      <x:c r="C17" s="16"/>
      <x:c r="D17" s="16"/>
      <x:c r="E17" s="2"/>
      <x:c r="F17" s="2"/>
    </x:row>
    <x:row r="18" ht="79.5" customHeight="1">
      <x:c r="A18" s="7" t="s">
        <x:v>254</x:v>
      </x:c>
      <x:c r="B18" s="16"/>
      <x:c r="C18" s="16"/>
      <x:c r="D18" s="16"/>
      <x:c r="E18" s="2"/>
      <x:c r="F18" s="2"/>
    </x:row>
    <x:row r="19" ht="21.75" customHeight="1">
      <x:c r="A19" s="2"/>
      <x:c r="B19" s="2"/>
      <x:c r="C19" s="2"/>
      <x:c r="D19" s="2"/>
      <x:c r="E19" s="2"/>
      <x:c r="F19" s="2"/>
    </x:row>
    <x:row r="20" ht="21.75" customHeight="1">
      <x:c r="A20" s="2"/>
      <x:c r="B20" s="2"/>
      <x:c r="C20" s="2"/>
      <x:c r="D20" s="2"/>
      <x:c r="E20" s="2"/>
      <x:c r="F20" s="2"/>
    </x:row>
    <x:row r="21" ht="27" customHeight="1">
      <x:c r="A21" s="4" t="s">
        <x:v>255</x:v>
      </x:c>
      <x:c r="B21" s="4"/>
      <x:c r="C21" s="4"/>
      <x:c r="D21" s="4"/>
      <x:c r="E21" s="4"/>
      <x:c r="F21" s="4"/>
    </x:row>
    <x:row r="22" ht="48.75" customHeight="1">
      <x:c r="A22" s="5" t="s">
        <x:v>256</x:v>
      </x:c>
      <x:c r="B22" s="5" t="s">
        <x:v>257</x:v>
      </x:c>
      <x:c r="C22" s="2"/>
      <x:c r="D22" s="2"/>
      <x:c r="E22" s="2"/>
      <x:c r="F22" s="2"/>
    </x:row>
    <x:row r="23" ht="105" customHeight="1">
      <x:c r="A23" s="7" t="s">
        <x:v>258</x:v>
      </x:c>
      <x:c r="B23" s="16"/>
      <x:c r="C23" s="2"/>
      <x:c r="D23" s="2"/>
      <x:c r="E23" s="2"/>
      <x:c r="F23" s="2"/>
    </x:row>
    <x:row r="24" ht="105" customHeight="1">
      <x:c r="A24" s="7" t="s">
        <x:v>259</x:v>
      </x:c>
      <x:c r="B24" s="16"/>
      <x:c r="C24" s="2"/>
      <x:c r="D24" s="2"/>
      <x:c r="E24" s="2"/>
      <x:c r="F24" s="2"/>
    </x:row>
    <x:row r="25" ht="105" customHeight="1">
      <x:c r="A25" s="7" t="s">
        <x:v>260</x:v>
      </x:c>
      <x:c r="B25" s="16"/>
      <x:c r="C25" s="2"/>
      <x:c r="D25" s="2"/>
      <x:c r="E25" s="2"/>
      <x:c r="F25" s="2"/>
    </x:row>
    <x:row r="26" ht="105" customHeight="1">
      <x:c r="A26" s="7" t="s">
        <x:v>261</x:v>
      </x:c>
      <x:c r="B26" s="16"/>
      <x:c r="C26" s="2"/>
      <x:c r="D26" s="2"/>
      <x:c r="E26" s="2"/>
      <x:c r="F26" s="2"/>
    </x:row>
    <x:row r="27" ht="105" customHeight="1">
      <x:c r="A27" s="7" t="s">
        <x:v>262</x:v>
      </x:c>
      <x:c r="B27" s="16"/>
      <x:c r="C27" s="2"/>
      <x:c r="D27" s="2"/>
      <x:c r="E27" s="2"/>
      <x:c r="F27" s="2"/>
    </x:row>
    <x:row r="28" ht="105" customHeight="1">
      <x:c r="A28" s="7" t="s">
        <x:v>263</x:v>
      </x:c>
      <x:c r="B28" s="16"/>
      <x:c r="C28" s="2"/>
      <x:c r="D28" s="2"/>
      <x:c r="E28" s="2"/>
      <x:c r="F28" s="2"/>
    </x:row>
    <x:row r="29" ht="21.75" customHeight="1">
      <x:c r="A29" s="2"/>
      <x:c r="B29" s="2"/>
      <x:c r="C29" s="2"/>
      <x:c r="D29" s="2"/>
      <x:c r="E29" s="2"/>
      <x:c r="F29" s="2"/>
    </x:row>
    <x:row r="30" ht="60" customHeight="1">
      <x:c r="A30" s="11" t="s">
        <x:v>264</x:v>
      </x:c>
      <x:c r="F30" s="12"/>
    </x:row>
    <x:row r="31" ht="27" customHeight="1">
      <x:c r="A31" s="4" t="s">
        <x:v>265</x:v>
      </x:c>
      <x:c r="B31" s="4"/>
      <x:c r="C31" s="4"/>
      <x:c r="D31" s="4"/>
      <x:c r="E31" s="4"/>
      <x:c r="F31" s="4"/>
    </x:row>
    <x:row r="32" ht="48.75" customHeight="1">
      <x:c r="A32" s="5" t="s">
        <x:v>247</x:v>
      </x:c>
      <x:c r="B32" s="5" t="s">
        <x:v>266</x:v>
      </x:c>
      <x:c r="C32" s="5" t="s">
        <x:v>267</x:v>
      </x:c>
      <x:c r="D32" s="5" t="s">
        <x:v>268</x:v>
      </x:c>
      <x:c r="E32" s="5" t="s">
        <x:v>269</x:v>
      </x:c>
      <x:c r="F32" s="5" t="s">
        <x:v>270</x:v>
      </x:c>
    </x:row>
    <x:row r="33" ht="79.5" customHeight="1">
      <x:c r="A33" s="7" t="s">
        <x:v>251</x:v>
      </x:c>
      <x:c r="B33" s="16"/>
      <x:c r="C33" s="16"/>
      <x:c r="D33" s="16"/>
      <x:c r="E33" s="16"/>
      <x:c r="F33" s="16"/>
    </x:row>
    <x:row r="34" ht="79.5" customHeight="1">
      <x:c r="A34" s="7" t="s">
        <x:v>252</x:v>
      </x:c>
      <x:c r="B34" s="16"/>
      <x:c r="C34" s="16"/>
      <x:c r="D34" s="16"/>
      <x:c r="E34" s="16"/>
      <x:c r="F34" s="16"/>
    </x:row>
    <x:row r="35" ht="79.5" customHeight="1">
      <x:c r="A35" s="7" t="s">
        <x:v>253</x:v>
      </x:c>
      <x:c r="B35" s="16"/>
      <x:c r="C35" s="16"/>
      <x:c r="D35" s="16"/>
      <x:c r="E35" s="16"/>
      <x:c r="F35" s="16"/>
    </x:row>
    <x:row r="36" ht="79.5" customHeight="1">
      <x:c r="A36" s="7" t="s">
        <x:v>254</x:v>
      </x:c>
      <x:c r="B36" s="16"/>
      <x:c r="C36" s="16"/>
      <x:c r="D36" s="16"/>
      <x:c r="E36" s="16"/>
      <x:c r="F36" s="16"/>
    </x:row>
    <x:row r="37" ht="21.75" customHeight="1">
      <x:c r="A37" s="2"/>
      <x:c r="B37" s="2"/>
      <x:c r="C37" s="2"/>
      <x:c r="D37" s="2"/>
      <x:c r="E37" s="2"/>
      <x:c r="F37" s="2"/>
    </x:row>
    <x:row r="38" ht="21.75" customHeight="1">
      <x:c r="A38" s="2"/>
      <x:c r="B38" s="2"/>
      <x:c r="C38" s="2"/>
      <x:c r="D38" s="2"/>
      <x:c r="E38" s="2"/>
      <x:c r="F38" s="2"/>
    </x:row>
    <x:row r="39" ht="27" customHeight="1">
      <x:c r="A39" s="4" t="s">
        <x:v>271</x:v>
      </x:c>
      <x:c r="B39" s="4"/>
      <x:c r="C39" s="4"/>
      <x:c r="D39" s="4"/>
      <x:c r="E39" s="4"/>
      <x:c r="F39" s="4"/>
    </x:row>
    <x:row r="40" ht="48.75" customHeight="1">
      <x:c r="A40" s="5" t="s">
        <x:v>272</x:v>
      </x:c>
      <x:c r="B40" s="5" t="s">
        <x:v>273</x:v>
      </x:c>
      <x:c r="C40" s="22" t="s">
        <x:v>274</x:v>
      </x:c>
      <x:c r="D40" s="5" t="s">
        <x:v>275</x:v>
      </x:c>
      <x:c r="E40" s="2"/>
      <x:c r="F40" s="2"/>
    </x:row>
    <x:row r="41" ht="79.5" customHeight="1">
      <x:c r="A41" s="16"/>
      <x:c r="B41" s="16"/>
      <x:c r="C41" s="16"/>
      <x:c r="D41" s="16"/>
      <x:c r="E41" s="2"/>
      <x:c r="F41" s="2"/>
    </x:row>
    <x:row r="42" ht="46.5" customHeight="1">
      <x:c r="A42" s="24" t="s">
        <x:v>276</x:v>
      </x:c>
      <x:c r="B42" s="25"/>
    </x:row>
    <x:row r="43" ht="60" customHeight="1">
      <x:c r="A43" s="24" t="s">
        <x:v>277</x:v>
      </x:c>
      <x:c r="B43" s="25"/>
    </x:row>
    <x:row r="44" ht="27" customHeight="1">
      <x:c r="A44" s="4" t="s">
        <x:v>278</x:v>
      </x:c>
      <x:c r="B44" s="4"/>
      <x:c r="C44" s="4"/>
      <x:c r="D44" s="4"/>
      <x:c r="E44" s="4"/>
      <x:c r="F44" s="4"/>
    </x:row>
    <x:row r="45" ht="22.5" customHeight="1">
      <x:c r="A45" s="3" t="s">
        <x:v>279</x:v>
      </x:c>
      <x:c r="B45" s="3"/>
      <x:c r="C45" s="3"/>
      <x:c r="D45" s="3"/>
      <x:c r="E45" s="3"/>
      <x:c r="F45" s="3"/>
    </x:row>
    <x:row r="46" ht="22.5" customHeight="1">
      <x:c r="A46" s="3" t="s">
        <x:v>280</x:v>
      </x:c>
      <x:c r="B46" s="3"/>
      <x:c r="C46" s="3"/>
      <x:c r="D46" s="3"/>
      <x:c r="E46" s="3"/>
      <x:c r="F46" s="3"/>
    </x:row>
    <x:row r="47" ht="22.5" customHeight="1">
      <x:c r="A47" s="3" t="s">
        <x:v>281</x:v>
      </x:c>
      <x:c r="B47" s="3"/>
      <x:c r="C47" s="3"/>
      <x:c r="D47" s="3"/>
      <x:c r="E47" s="3"/>
      <x:c r="F47" s="3"/>
    </x:row>
    <x:row r="48" ht="22.5" customHeight="1">
      <x:c r="A48" s="3" t="s">
        <x:v>282</x:v>
      </x:c>
      <x:c r="B48" s="3"/>
      <x:c r="C48" s="3"/>
      <x:c r="D48" s="3"/>
      <x:c r="E48" s="3"/>
      <x:c r="F48" s="3"/>
    </x:row>
    <x:row r="49" ht="22.5" customHeight="1">
      <x:c r="A49" s="3" t="s">
        <x:v>283</x:v>
      </x:c>
      <x:c r="B49" s="3"/>
      <x:c r="C49" s="3"/>
      <x:c r="D49" s="3"/>
      <x:c r="E49" s="3"/>
      <x:c r="F49" s="3"/>
    </x:row>
    <x:row r="50" ht="22.5" customHeight="1">
      <x:c r="A50" s="3" t="s">
        <x:v>284</x:v>
      </x:c>
      <x:c r="B50" s="3"/>
      <x:c r="C50" s="3"/>
      <x:c r="D50" s="3"/>
      <x:c r="E50" s="3"/>
      <x:c r="F50" s="3"/>
    </x:row>
    <x:row r="51" ht="22.5" customHeight="1">
      <x:c r="A51" s="3" t="s">
        <x:v>285</x:v>
      </x:c>
      <x:c r="B51" s="3"/>
      <x:c r="C51" s="3"/>
      <x:c r="D51" s="3"/>
      <x:c r="E51" s="3"/>
      <x:c r="F51" s="3"/>
    </x:row>
    <x:row r="52" ht="22.5" customHeight="1">
      <x:c r="A52" s="3" t="s">
        <x:v>286</x:v>
      </x:c>
      <x:c r="B52" s="3"/>
      <x:c r="C52" s="3"/>
      <x:c r="D52" s="3"/>
      <x:c r="E52" s="3"/>
      <x:c r="F52" s="3"/>
    </x:row>
    <x:row r="53" ht="22.5" customHeight="1">
      <x:c r="A53" s="13" t="s">
        <x:v>287</x:v>
      </x:c>
      <x:c r="B53" s="3"/>
      <x:c r="C53" s="3"/>
      <x:c r="D53" s="3"/>
      <x:c r="E53" s="3"/>
      <x:c r="F53" s="3"/>
    </x:row>
    <x:row r="54" ht="22.5" customHeight="1">
      <x:c r="A54" s="3" t="s">
        <x:v>288</x:v>
      </x:c>
      <x:c r="B54" s="3"/>
      <x:c r="C54" s="3"/>
      <x:c r="D54" s="3"/>
      <x:c r="E54" s="3"/>
      <x:c r="F54" s="3"/>
    </x:row>
    <x:row r="55" ht="22.5" customHeight="1">
      <x:c r="A55" s="13" t="s">
        <x:v>289</x:v>
      </x:c>
      <x:c r="B55" s="3"/>
      <x:c r="C55" s="3"/>
      <x:c r="D55" s="3"/>
      <x:c r="E55" s="3"/>
      <x:c r="F55" s="3"/>
    </x:row>
    <x:row r="56" ht="22.5" customHeight="1">
      <x:c r="A56" s="3" t="s">
        <x:v>290</x:v>
      </x:c>
      <x:c r="B56" s="3"/>
      <x:c r="C56" s="3"/>
      <x:c r="D56" s="3"/>
      <x:c r="E56" s="3"/>
      <x:c r="F56" s="3"/>
    </x:row>
    <x:row r="57" ht="22.5" customHeight="1">
      <x:c r="A57" s="3" t="s">
        <x:v>291</x:v>
      </x:c>
      <x:c r="B57" s="3"/>
      <x:c r="C57" s="3"/>
      <x:c r="D57" s="3"/>
      <x:c r="E57" s="3"/>
      <x:c r="F57" s="3"/>
    </x:row>
    <x:row r="58" ht="22.5" customHeight="1">
      <x:c r="A58" s="13" t="s">
        <x:v>292</x:v>
      </x:c>
      <x:c r="B58" s="3"/>
      <x:c r="C58" s="3"/>
      <x:c r="D58" s="3"/>
      <x:c r="E58" s="3"/>
      <x:c r="F58" s="3"/>
    </x:row>
    <x:row r="59" ht="22.5" customHeight="1">
      <x:c r="A59" s="13" t="s">
        <x:v>293</x:v>
      </x:c>
      <x:c r="B59" s="3"/>
      <x:c r="C59" s="3"/>
      <x:c r="D59" s="3"/>
      <x:c r="E59" s="3"/>
      <x:c r="F59" s="3"/>
    </x:row>
    <x:row r="60" ht="22.5" customHeight="1">
      <x:c r="A60" s="3" t="s">
        <x:v>294</x:v>
      </x:c>
      <x:c r="B60" s="3"/>
      <x:c r="C60" s="3"/>
      <x:c r="D60" s="3"/>
      <x:c r="E60" s="3"/>
      <x:c r="F60" s="3"/>
    </x:row>
    <x:row r="61" ht="22.5" customHeight="1">
      <x:c r="A61" s="3" t="s">
        <x:v>295</x:v>
      </x:c>
      <x:c r="B61" s="3"/>
      <x:c r="C61" s="3"/>
      <x:c r="D61" s="3"/>
      <x:c r="E61" s="3"/>
      <x:c r="F61" s="3"/>
    </x:row>
    <x:row r="62" ht="22.5" customHeight="1">
      <x:c r="A62" s="3" t="s">
        <x:v>296</x:v>
      </x:c>
      <x:c r="B62" s="3"/>
      <x:c r="C62" s="3"/>
      <x:c r="D62" s="3"/>
      <x:c r="E62" s="3"/>
      <x:c r="F62" s="3"/>
    </x:row>
    <x:row r="63" ht="22.5" customHeight="1">
      <x:c r="A63" s="3" t="s">
        <x:v>297</x:v>
      </x:c>
      <x:c r="B63" s="3"/>
      <x:c r="C63" s="3"/>
      <x:c r="D63" s="3"/>
      <x:c r="E63" s="3"/>
      <x:c r="F63" s="3"/>
    </x:row>
    <x:row r="64" ht="22.5" customHeight="1">
      <x:c r="A64" s="3" t="s">
        <x:v>298</x:v>
      </x:c>
      <x:c r="B64" s="3"/>
      <x:c r="C64" s="3"/>
      <x:c r="D64" s="3"/>
      <x:c r="E64" s="3"/>
      <x:c r="F64" s="3"/>
    </x:row>
    <x:row r="65" ht="22.5" customHeight="1">
      <x:c r="A65" s="3" t="s">
        <x:v>299</x:v>
      </x:c>
      <x:c r="B65" s="3"/>
      <x:c r="C65" s="3"/>
      <x:c r="D65" s="3"/>
      <x:c r="E65" s="3"/>
      <x:c r="F65" s="3"/>
    </x:row>
    <x:row r="66" ht="22.5" customHeight="1">
      <x:c r="A66" s="3" t="s">
        <x:v>300</x:v>
      </x:c>
      <x:c r="B66" s="3"/>
      <x:c r="C66" s="3"/>
      <x:c r="D66" s="3"/>
      <x:c r="E66" s="3"/>
      <x:c r="F66" s="3"/>
    </x:row>
    <x:row r="67" ht="22.5" customHeight="1">
      <x:c r="A67" s="3" t="s">
        <x:v>301</x:v>
      </x:c>
      <x:c r="B67" s="3"/>
      <x:c r="C67" s="3"/>
      <x:c r="D67" s="3"/>
      <x:c r="E67" s="3"/>
      <x:c r="F67" s="3"/>
    </x:row>
    <x:row r="68" ht="22.5" customHeight="1">
      <x:c r="A68" s="3" t="s">
        <x:v>302</x:v>
      </x:c>
      <x:c r="B68" s="3"/>
      <x:c r="C68" s="3"/>
      <x:c r="D68" s="3"/>
      <x:c r="E68" s="3"/>
      <x:c r="F68" s="3"/>
    </x:row>
    <x:row r="69" ht="21.75" customHeight="1"/>
    <x:row r="70" ht="21.75" customHeight="1"/>
    <x:row r="71" ht="21.75" customHeight="1"/>
    <x:row r="72" ht="21.75" customHeight="1"/>
    <x:row r="73" ht="21.75" customHeight="1"/>
    <x:row r="74" ht="21.75" customHeight="1"/>
    <x:row r="75" ht="21.75" customHeight="1"/>
    <x:row r="76" ht="21.75" customHeight="1"/>
    <x:row r="77" ht="21.75" customHeight="1"/>
    <x:row r="78" ht="21.75" customHeight="1"/>
    <x:row r="79" ht="21.75" customHeight="1"/>
    <x:row r="80" ht="21.75" customHeight="1"/>
    <x:row r="81" ht="21.75" customHeight="1"/>
    <x:row r="82" ht="21.75" customHeight="1"/>
    <x:row r="83" ht="21.75" customHeight="1"/>
    <x:row r="84" ht="21.75" customHeight="1"/>
    <x:row r="85" ht="21.75" customHeight="1"/>
    <x:row r="86" ht="21.75" customHeight="1"/>
    <x:row r="87" ht="21.75" customHeight="1"/>
    <x:row r="88" ht="21.75" customHeight="1"/>
    <x:row r="89" ht="21.75" customHeight="1"/>
    <x:row r="90" ht="21.75" customHeight="1"/>
    <x:row r="91" ht="21.75" customHeight="1"/>
    <x:row r="92" ht="21.75" customHeight="1"/>
    <x:row r="93" ht="21.75" customHeight="1"/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4:E4"/>
    <x:mergeCell ref="A11:E11"/>
    <x:mergeCell ref="A30:E30"/>
    <x:mergeCell ref="B42:F42"/>
    <x:mergeCell ref="B43:F43"/>
  </x:mergeCells>
  <x:hyperlinks>
    <x:hyperlink ref="A3" location="'Начало'!A1"/>
    <x:hyperlink ref="C3" location="'Кейс'!A1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40" customWidth="1"/>
    <x:col min="2" max="2" width="45" customWidth="1"/>
    <x:col min="3" max="3" width="43" customWidth="1"/>
    <x:col min="4" max="4" width="45" customWidth="1"/>
    <x:col min="5" max="26" width="8.630000114440918" customWidth="1"/>
  </x:cols>
  <x:sheetData>
    <x:row r="1" ht="28.5" customHeight="1">
      <x:c r="A1" s="1" t="s">
        <x:v>303</x:v>
      </x:c>
      <x:c r="B1" s="1"/>
      <x:c r="C1" s="1"/>
      <x:c r="D1" s="1"/>
    </x:row>
    <x:row r="2" ht="21.75" customHeight="1">
      <x:c r="A2" s="2"/>
      <x:c r="B2" s="2"/>
      <x:c r="C2" s="2"/>
      <x:c r="D2" s="2"/>
    </x:row>
    <x:row r="3" ht="21.75" customHeight="1">
      <x:c r="A3" s="6" t="s">
        <x:v>58</x:v>
      </x:c>
      <x:c r="B3" s="2"/>
      <x:c r="C3" s="6" t="s">
        <x:v>236</x:v>
      </x:c>
      <x:c r="D3" s="2"/>
    </x:row>
    <x:row r="4" ht="21.75" customHeight="1">
      <x:c r="A4" s="2"/>
      <x:c r="B4" s="2"/>
      <x:c r="C4" s="2"/>
      <x:c r="D4" s="2"/>
    </x:row>
    <x:row r="5" ht="22.5" customHeight="1">
      <x:c r="A5" s="10" t="s">
        <x:v>304</x:v>
      </x:c>
      <x:c r="B5" s="10"/>
      <x:c r="C5" s="10"/>
      <x:c r="D5" s="10"/>
    </x:row>
    <x:row r="6" ht="22.5" customHeight="1">
      <x:c r="A6" s="3" t="s">
        <x:v>305</x:v>
      </x:c>
      <x:c r="B6" s="3"/>
      <x:c r="C6" s="3"/>
      <x:c r="D6" s="3"/>
    </x:row>
    <x:row r="7" ht="22.5" customHeight="1">
      <x:c r="A7" s="3" t="s">
        <x:v>306</x:v>
      </x:c>
      <x:c r="B7" s="3"/>
      <x:c r="C7" s="3"/>
      <x:c r="D7" s="3"/>
    </x:row>
    <x:row r="8" ht="22.5" customHeight="1">
      <x:c r="A8" s="3" t="s">
        <x:v>307</x:v>
      </x:c>
      <x:c r="B8" s="3"/>
      <x:c r="C8" s="3"/>
      <x:c r="D8" s="3"/>
    </x:row>
    <x:row r="9" ht="22.5" customHeight="1">
      <x:c r="A9" s="3" t="s">
        <x:v>308</x:v>
      </x:c>
      <x:c r="B9" s="3"/>
      <x:c r="C9" s="3"/>
      <x:c r="D9" s="3"/>
    </x:row>
    <x:row r="10" ht="22.5" customHeight="1">
      <x:c r="A10" s="3" t="s">
        <x:v>309</x:v>
      </x:c>
      <x:c r="B10" s="3"/>
      <x:c r="C10" s="3"/>
      <x:c r="D10" s="3"/>
    </x:row>
    <x:row r="11" ht="22.5" customHeight="1">
      <x:c r="A11" s="3" t="s">
        <x:v>310</x:v>
      </x:c>
      <x:c r="B11" s="3"/>
      <x:c r="C11" s="3"/>
      <x:c r="D11" s="3"/>
    </x:row>
    <x:row r="12" ht="22.5" customHeight="1">
      <x:c r="A12" s="3" t="s">
        <x:v>311</x:v>
      </x:c>
      <x:c r="B12" s="3"/>
      <x:c r="C12" s="3"/>
      <x:c r="D12" s="3"/>
    </x:row>
    <x:row r="13" ht="22.5" customHeight="1">
      <x:c r="A13" s="3" t="s">
        <x:v>312</x:v>
      </x:c>
      <x:c r="B13" s="3"/>
      <x:c r="C13" s="3"/>
      <x:c r="D13" s="3"/>
    </x:row>
    <x:row r="14" ht="22.5" customHeight="1">
      <x:c r="A14" s="3" t="s">
        <x:v>313</x:v>
      </x:c>
      <x:c r="B14" s="3"/>
      <x:c r="C14" s="3"/>
      <x:c r="D14" s="3"/>
    </x:row>
    <x:row r="15" ht="22.5" customHeight="1">
      <x:c r="A15" s="3" t="s">
        <x:v>314</x:v>
      </x:c>
      <x:c r="B15" s="3"/>
      <x:c r="C15" s="3"/>
      <x:c r="D15" s="3"/>
    </x:row>
    <x:row r="16" ht="22.5" customHeight="1">
      <x:c r="A16" s="3" t="s">
        <x:v>245</x:v>
      </x:c>
      <x:c r="B16" s="3"/>
      <x:c r="C16" s="3"/>
      <x:c r="D16" s="3"/>
    </x:row>
    <x:row r="17" ht="27" customHeight="1">
      <x:c r="A17" s="4" t="s">
        <x:v>315</x:v>
      </x:c>
      <x:c r="B17" s="4"/>
      <x:c r="C17" s="4"/>
      <x:c r="D17" s="4"/>
    </x:row>
    <x:row r="18" ht="48.75" customHeight="1">
      <x:c r="A18" s="5" t="s">
        <x:v>316</x:v>
      </x:c>
      <x:c r="B18" s="5" t="s">
        <x:v>317</x:v>
      </x:c>
      <x:c r="C18" s="5" t="s">
        <x:v>181</x:v>
      </x:c>
      <x:c r="D18" s="5" t="s">
        <x:v>318</x:v>
      </x:c>
    </x:row>
    <x:row r="19" ht="79.5" customHeight="1">
      <x:c r="A19" s="7" t="s">
        <x:v>319</x:v>
      </x:c>
      <x:c r="B19" s="17" t="s">
        <x:v>320</x:v>
      </x:c>
      <x:c r="C19" s="18" t="s">
        <x:v>184</x:v>
      </x:c>
      <x:c r="D19" s="17" t="s">
        <x:v>321</x:v>
      </x:c>
    </x:row>
    <x:row r="20" ht="79.5" customHeight="1">
      <x:c r="A20" s="7" t="s">
        <x:v>322</x:v>
      </x:c>
      <x:c r="B20" s="17" t="s">
        <x:v>323</x:v>
      </x:c>
      <x:c r="C20" s="18" t="s">
        <x:v>187</x:v>
      </x:c>
      <x:c r="D20" s="17" t="s">
        <x:v>324</x:v>
      </x:c>
    </x:row>
    <x:row r="21" ht="79.5" customHeight="1">
      <x:c r="A21" s="7" t="s">
        <x:v>325</x:v>
      </x:c>
      <x:c r="B21" s="17" t="s">
        <x:v>326</x:v>
      </x:c>
      <x:c r="C21" s="18" t="s">
        <x:v>184</x:v>
      </x:c>
      <x:c r="D21" s="17" t="s">
        <x:v>327</x:v>
      </x:c>
    </x:row>
    <x:row r="22" ht="79.5" customHeight="1">
      <x:c r="A22" s="7" t="s">
        <x:v>328</x:v>
      </x:c>
      <x:c r="B22" s="17" t="s">
        <x:v>329</x:v>
      </x:c>
      <x:c r="C22" s="18" t="s">
        <x:v>192</x:v>
      </x:c>
      <x:c r="D22" s="17" t="s">
        <x:v>330</x:v>
      </x:c>
    </x:row>
    <x:row r="23" ht="79.5" customHeight="1">
      <x:c r="A23" s="7" t="s">
        <x:v>331</x:v>
      </x:c>
      <x:c r="B23" s="17" t="s">
        <x:v>332</x:v>
      </x:c>
      <x:c r="C23" s="18" t="s">
        <x:v>333</x:v>
      </x:c>
      <x:c r="D23" s="17" t="s">
        <x:v>334</x:v>
      </x:c>
    </x:row>
    <x:row r="24" ht="79.5" customHeight="1">
      <x:c r="A24" s="7" t="s">
        <x:v>335</x:v>
      </x:c>
      <x:c r="B24" s="17" t="s">
        <x:v>336</x:v>
      </x:c>
      <x:c r="C24" s="18" t="s">
        <x:v>184</x:v>
      </x:c>
      <x:c r="D24" s="17" t="s">
        <x:v>337</x:v>
      </x:c>
      <x:c r="I24" s="19"/>
      <x:c r="J24" s="19"/>
    </x:row>
    <x:row r="25" ht="21.75" customHeight="1">
      <x:c r="A25" s="2"/>
      <x:c r="B25" s="2"/>
      <x:c r="C25" s="2"/>
      <x:c r="D25" s="2"/>
    </x:row>
    <x:row r="26" ht="21.75" customHeight="1">
      <x:c r="A26" s="2"/>
      <x:c r="B26" s="2"/>
      <x:c r="C26" s="2"/>
      <x:c r="D26" s="2"/>
    </x:row>
    <x:row r="27" ht="27" customHeight="1">
      <x:c r="A27" s="4" t="s">
        <x:v>338</x:v>
      </x:c>
      <x:c r="B27" s="4"/>
      <x:c r="C27" s="4"/>
      <x:c r="D27" s="4"/>
    </x:row>
    <x:row r="28" ht="48.75" customHeight="1">
      <x:c r="A28" s="5" t="s">
        <x:v>3</x:v>
      </x:c>
      <x:c r="B28" s="5" t="s">
        <x:v>339</x:v>
      </x:c>
      <x:c r="C28" s="2"/>
      <x:c r="D28" s="2"/>
    </x:row>
    <x:row r="29" ht="105" customHeight="1">
      <x:c r="A29" s="7" t="s">
        <x:v>340</x:v>
      </x:c>
      <x:c r="B29" s="20" t="str">
        <x:v>Выбрать: сохранить утверждённую базовую дату начала пилота 01.12.2026 с переносом части необязательного объёма на следующий этап или изменить базовую дату на 15.12.2026 при сохранении согласованного объёма.</x:v>
      </x:c>
      <x:c r="C29" s="2"/>
      <x:c r="D29" s="21" t="s">
        <x:v>341</x:v>
      </x:c>
      <x:c r="G29" s="19"/>
      <x:c r="H29" s="19"/>
    </x:row>
    <x:row r="30" ht="105" customHeight="1">
      <x:c r="A30" s="7" t="s">
        <x:v>342</x:v>
      </x:c>
      <x:c r="B30" s="20" t="s">
        <x:v>343</x:v>
      </x:c>
      <x:c r="C30" s="2"/>
      <x:c r="D30" s="2"/>
    </x:row>
    <x:row r="31" ht="105" customHeight="1">
      <x:c r="A31" s="7" t="s">
        <x:v>344</x:v>
      </x:c>
      <x:c r="B31" s="20" t="s">
        <x:v>345</x:v>
      </x:c>
      <x:c r="C31" s="2"/>
      <x:c r="D31" s="2"/>
    </x:row>
    <x:row r="32" ht="105" customHeight="1">
      <x:c r="A32" s="7" t="s">
        <x:v>346</x:v>
      </x:c>
      <x:c r="B32" s="20" t="s">
        <x:v>347</x:v>
      </x:c>
      <x:c r="C32" s="2"/>
      <x:c r="D32" s="2"/>
    </x:row>
    <x:row r="33" ht="105" customHeight="1">
      <x:c r="A33" s="7" t="s">
        <x:v>348</x:v>
      </x:c>
      <x:c r="B33" s="20" t="s">
        <x:v>349</x:v>
      </x:c>
      <x:c r="C33" s="2"/>
      <x:c r="D33" s="2"/>
    </x:row>
    <x:row r="34" ht="105" customHeight="1">
      <x:c r="A34" s="7" t="s">
        <x:v>350</x:v>
      </x:c>
      <x:c r="B34" s="20" t="s">
        <x:v>351</x:v>
      </x:c>
      <x:c r="C34" s="2"/>
      <x:c r="D34" s="2"/>
    </x:row>
    <x:row r="35" ht="105" customHeight="1">
      <x:c r="A35" s="7" t="s">
        <x:v>352</x:v>
      </x:c>
      <x:c r="B35" s="20" t="s">
        <x:v>353</x:v>
      </x:c>
      <x:c r="C35" s="2"/>
      <x:c r="D35" s="2"/>
    </x:row>
    <x:row r="36" ht="21.75" customHeight="1">
      <x:c r="A36" s="2"/>
      <x:c r="B36" s="2"/>
      <x:c r="C36" s="2"/>
      <x:c r="D36" s="2"/>
    </x:row>
    <x:row r="37" ht="21.75" customHeight="1">
      <x:c r="A37" s="2"/>
      <x:c r="B37" s="2"/>
      <x:c r="C37" s="2"/>
      <x:c r="D37" s="2"/>
    </x:row>
    <x:row r="38" ht="27" customHeight="1">
      <x:c r="A38" s="4" t="s">
        <x:v>354</x:v>
      </x:c>
      <x:c r="B38" s="4"/>
      <x:c r="C38" s="4"/>
      <x:c r="D38" s="4"/>
    </x:row>
    <x:row r="39" ht="48.75" customHeight="1">
      <x:c r="A39" s="5" t="s">
        <x:v>3</x:v>
      </x:c>
      <x:c r="B39" s="5" t="s">
        <x:v>339</x:v>
      </x:c>
      <x:c r="C39" s="2"/>
      <x:c r="D39" s="2"/>
    </x:row>
    <x:row r="40" ht="105" customHeight="1">
      <x:c r="A40" s="7" t="s">
        <x:v>340</x:v>
      </x:c>
      <x:c r="B40" s="17" t="s">
        <x:v>355</x:v>
      </x:c>
      <x:c r="C40" s="2"/>
      <x:c r="D40" s="2"/>
    </x:row>
    <x:row r="41" ht="105" customHeight="1">
      <x:c r="A41" s="7" t="s">
        <x:v>342</x:v>
      </x:c>
      <x:c r="B41" s="17" t="s">
        <x:v>356</x:v>
      </x:c>
      <x:c r="C41" s="2"/>
      <x:c r="D41" s="2"/>
    </x:row>
    <x:row r="42" ht="105" customHeight="1">
      <x:c r="A42" s="7" t="s">
        <x:v>357</x:v>
      </x:c>
      <x:c r="B42" s="17" t="str">
        <x:v>Протокол успешного прохождения полного сценария «сдача результата → ответ руководителя → актуальный статус у координатора»; подтверждение готовности обязательных функций; результаты функциональных испытаний; проверка восстановления данных из резервной копии; подтверждение корректности прав доступа и отсутствия критических дефектов; заключение ИБ о допустимости риска; подтверждение готовности эксплуатации и поддержки.</x:v>
      </x:c>
      <x:c r="C42" s="2"/>
      <x:c r="D42" s="2"/>
    </x:row>
    <x:row r="43" ht="105" customHeight="1">
      <x:c r="A43" s="7" t="s">
        <x:v>358</x:v>
      </x:c>
      <x:c r="B43" s="17" t="s">
        <x:v>359</x:v>
      </x:c>
      <x:c r="C43" s="2"/>
      <x:c r="D43" s="2"/>
    </x:row>
    <x:row r="44" ht="105" customHeight="1">
      <x:c r="A44" s="7" t="s">
        <x:v>360</x:v>
      </x:c>
      <x:c r="B44" s="17" t="s">
        <x:v>361</x:v>
      </x:c>
      <x:c r="C44" s="2"/>
      <x:c r="D44" s="2"/>
    </x:row>
    <x:row r="45" ht="105" customHeight="1">
      <x:c r="A45" s="7" t="s">
        <x:v>350</x:v>
      </x:c>
      <x:c r="B45" s="17" t="s">
        <x:v>362</x:v>
      </x:c>
      <x:c r="C45" s="2"/>
      <x:c r="D45" s="2"/>
    </x:row>
    <x:row r="46" ht="105" customHeight="1">
      <x:c r="A46" s="7" t="s">
        <x:v>352</x:v>
      </x:c>
      <x:c r="B46" s="17" t="s">
        <x:v>363</x:v>
      </x:c>
      <x:c r="C46" s="2"/>
      <x:c r="D46" s="2"/>
    </x:row>
    <x:row r="47" ht="21.75" customHeight="1">
      <x:c r="A47" s="2"/>
      <x:c r="B47" s="2"/>
      <x:c r="C47" s="2"/>
      <x:c r="D47" s="2"/>
    </x:row>
    <x:row r="48" ht="21.75" customHeight="1">
      <x:c r="A48" s="2"/>
      <x:c r="B48" s="2"/>
      <x:c r="C48" s="2"/>
      <x:c r="D48" s="2"/>
    </x:row>
    <x:row r="49" ht="27" customHeight="1">
      <x:c r="A49" s="4" t="s">
        <x:v>278</x:v>
      </x:c>
      <x:c r="B49" s="4"/>
      <x:c r="C49" s="4"/>
      <x:c r="D49" s="4"/>
    </x:row>
    <x:row r="50" ht="22.5" customHeight="1">
      <x:c r="A50" s="3" t="s">
        <x:v>364</x:v>
      </x:c>
      <x:c r="B50" s="3"/>
      <x:c r="C50" s="3"/>
      <x:c r="D50" s="3"/>
    </x:row>
    <x:row r="51" ht="22.5" customHeight="1">
      <x:c r="A51" s="3" t="s">
        <x:v>365</x:v>
      </x:c>
      <x:c r="B51" s="3"/>
      <x:c r="C51" s="3"/>
      <x:c r="D51" s="3"/>
    </x:row>
    <x:row r="52" ht="22.5" customHeight="1">
      <x:c r="A52" s="3" t="s">
        <x:v>366</x:v>
      </x:c>
      <x:c r="B52" s="3"/>
      <x:c r="C52" s="3"/>
      <x:c r="D52" s="3"/>
    </x:row>
    <x:row r="53" ht="22.5" customHeight="1">
      <x:c r="A53" s="3" t="s">
        <x:v>367</x:v>
      </x:c>
      <x:c r="B53" s="3"/>
      <x:c r="C53" s="3"/>
      <x:c r="D53" s="3"/>
    </x:row>
    <x:row r="54" ht="22.5" customHeight="1">
      <x:c r="A54" s="3" t="s">
        <x:v>368</x:v>
      </x:c>
      <x:c r="B54" s="3"/>
      <x:c r="C54" s="3"/>
      <x:c r="D54" s="3"/>
    </x:row>
    <x:row r="55" ht="22.5" customHeight="1">
      <x:c r="A55" s="3" t="s">
        <x:v>369</x:v>
      </x:c>
      <x:c r="B55" s="3"/>
      <x:c r="C55" s="3"/>
      <x:c r="D55" s="3"/>
    </x:row>
    <x:row r="56" ht="22.5" customHeight="1">
      <x:c r="A56" s="3" t="s">
        <x:v>370</x:v>
      </x:c>
      <x:c r="B56" s="3"/>
      <x:c r="C56" s="3"/>
      <x:c r="D56" s="3"/>
    </x:row>
    <x:row r="57" ht="22.5" customHeight="1">
      <x:c r="A57" s="3" t="s">
        <x:v>371</x:v>
      </x:c>
      <x:c r="B57" s="3"/>
      <x:c r="C57" s="3"/>
      <x:c r="D57" s="3"/>
    </x:row>
    <x:row r="58" ht="22.5" customHeight="1">
      <x:c r="A58" s="3" t="s">
        <x:v>372</x:v>
      </x:c>
      <x:c r="B58" s="3"/>
      <x:c r="C58" s="3"/>
      <x:c r="D58" s="3"/>
    </x:row>
    <x:row r="59" ht="22.5" customHeight="1">
      <x:c r="A59" s="3" t="s">
        <x:v>373</x:v>
      </x:c>
      <x:c r="B59" s="3"/>
      <x:c r="C59" s="3"/>
      <x:c r="D59" s="3"/>
    </x:row>
    <x:row r="60" ht="22.5" customHeight="1">
      <x:c r="A60" s="3" t="s">
        <x:v>374</x:v>
      </x:c>
      <x:c r="B60" s="3"/>
      <x:c r="C60" s="3"/>
      <x:c r="D60" s="3"/>
    </x:row>
    <x:row r="61" ht="22.5" customHeight="1">
      <x:c r="A61" s="3" t="s">
        <x:v>375</x:v>
      </x:c>
      <x:c r="B61" s="3"/>
      <x:c r="C61" s="3"/>
      <x:c r="D61" s="3"/>
    </x:row>
    <x:row r="62" ht="22.5" customHeight="1">
      <x:c r="A62" s="3" t="s">
        <x:v>376</x:v>
      </x:c>
      <x:c r="B62" s="3"/>
      <x:c r="C62" s="3"/>
      <x:c r="D62" s="3"/>
    </x:row>
    <x:row r="63" ht="22.5" customHeight="1">
      <x:c r="A63" s="3" t="s">
        <x:v>377</x:v>
      </x:c>
      <x:c r="B63" s="3"/>
      <x:c r="C63" s="3"/>
      <x:c r="D63" s="3"/>
    </x:row>
    <x:row r="64" ht="22.5" customHeight="1">
      <x:c r="A64" s="3" t="s">
        <x:v>378</x:v>
      </x:c>
      <x:c r="B64" s="3"/>
      <x:c r="C64" s="3"/>
      <x:c r="D64" s="3"/>
    </x:row>
    <x:row r="65" ht="22.5" customHeight="1">
      <x:c r="A65" s="3" t="s">
        <x:v>379</x:v>
      </x:c>
      <x:c r="B65" s="3"/>
      <x:c r="C65" s="3"/>
      <x:c r="D65" s="3"/>
    </x:row>
    <x:row r="66" ht="22.5" customHeight="1">
      <x:c r="A66" s="3" t="s">
        <x:v>302</x:v>
      </x:c>
      <x:c r="B66" s="3"/>
      <x:c r="C66" s="3"/>
      <x:c r="D66" s="3"/>
    </x:row>
    <x:row r="67" ht="21.75" customHeight="1">
      <x:c r="A67" s="2"/>
      <x:c r="B67" s="2"/>
      <x:c r="C67" s="2"/>
      <x:c r="D67" s="2"/>
    </x:row>
    <x:row r="68" ht="21.75" customHeight="1">
      <x:c r="A68" s="6" t="s">
        <x:v>380</x:v>
      </x:c>
      <x:c r="B68" s="2"/>
      <x:c r="C68" s="2"/>
      <x:c r="D68" s="2"/>
    </x:row>
    <x:row r="69" ht="22.5" customHeight="1">
      <x:c r="A69" s="3" t="s">
        <x:v>381</x:v>
      </x:c>
      <x:c r="B69" s="3"/>
      <x:c r="C69" s="3"/>
      <x:c r="D69" s="3"/>
    </x:row>
    <x:row r="70" ht="21.75" customHeight="1"/>
    <x:row r="71" ht="21.75" customHeight="1"/>
    <x:row r="72" ht="21.75" customHeight="1"/>
    <x:row r="73" ht="21.75" customHeight="1"/>
    <x:row r="74" ht="21.75" customHeight="1"/>
    <x:row r="75" ht="21.75" customHeight="1"/>
    <x:row r="76" ht="21.75" customHeight="1"/>
    <x:row r="77" ht="21.75" customHeight="1"/>
    <x:row r="78" ht="21.75" customHeight="1"/>
    <x:row r="79" ht="21.75" customHeight="1"/>
    <x:row r="80" ht="21.75" customHeight="1"/>
    <x:row r="81" ht="21.75" customHeight="1"/>
    <x:row r="82" ht="21.75" customHeight="1"/>
    <x:row r="83" ht="21.75" customHeight="1"/>
    <x:row r="84" ht="21.75" customHeight="1"/>
    <x:row r="85" ht="21.75" customHeight="1"/>
    <x:row r="86" ht="21.75" customHeight="1"/>
    <x:row r="87" ht="21.75" customHeight="1"/>
    <x:row r="88" ht="21.75" customHeight="1"/>
    <x:row r="89" ht="21.75" customHeight="1"/>
    <x:row r="90" ht="21.75" customHeight="1"/>
    <x:row r="91" ht="21.75" customHeight="1"/>
    <x:row r="92" ht="21.75" customHeight="1"/>
    <x:row r="93" ht="21.75" customHeight="1"/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68" location="'С01_Успех'!A1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7" customWidth="1"/>
    <x:col min="2" max="2" width="31" customWidth="1"/>
    <x:col min="3" max="5" width="27" customWidth="1"/>
    <x:col min="6" max="6" width="29" customWidth="1"/>
    <x:col min="7" max="26" width="8.630000114440918" customWidth="1"/>
  </x:cols>
  <x:sheetData>
    <x:row r="1" ht="28.5" customHeight="1">
      <x:c r="A1" s="1" t="s">
        <x:v>382</x:v>
      </x:c>
      <x:c r="B1" s="1"/>
      <x:c r="C1" s="1"/>
      <x:c r="D1" s="1"/>
      <x:c r="E1" s="1"/>
      <x:c r="F1" s="1"/>
    </x:row>
    <x:row r="2" ht="21.75" customHeight="1">
      <x:c r="A2" s="2"/>
      <x:c r="B2" s="2"/>
      <x:c r="C2" s="2"/>
      <x:c r="D2" s="2"/>
      <x:c r="E2" s="2"/>
      <x:c r="F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  <x:c r="F3" s="2"/>
    </x:row>
    <x:row r="4" ht="21.75" customHeight="1">
      <x:c r="A4" s="2"/>
      <x:c r="B4" s="2"/>
      <x:c r="C4" s="2"/>
      <x:c r="D4" s="2"/>
      <x:c r="E4" s="2"/>
      <x:c r="F4" s="2"/>
    </x:row>
    <x:row r="5" ht="22.5" customHeight="1">
      <x:c r="A5" s="10" t="s">
        <x:v>383</x:v>
      </x:c>
      <x:c r="B5" s="10"/>
      <x:c r="C5" s="10"/>
      <x:c r="D5" s="10"/>
      <x:c r="E5" s="10"/>
      <x:c r="F5" s="10"/>
    </x:row>
    <x:row r="6" ht="22.5" customHeight="1">
      <x:c r="A6" s="3" t="s">
        <x:v>384</x:v>
      </x:c>
      <x:c r="B6" s="3"/>
      <x:c r="C6" s="3"/>
      <x:c r="D6" s="3"/>
      <x:c r="E6" s="3"/>
      <x:c r="F6" s="3"/>
    </x:row>
    <x:row r="7" ht="22.5" customHeight="1">
      <x:c r="A7" s="3" t="s">
        <x:v>385</x:v>
      </x:c>
      <x:c r="B7" s="3"/>
      <x:c r="C7" s="3"/>
      <x:c r="D7" s="3"/>
      <x:c r="E7" s="3"/>
      <x:c r="F7" s="3"/>
    </x:row>
    <x:row r="8" ht="22.5" customHeight="1">
      <x:c r="A8" s="3" t="s">
        <x:v>386</x:v>
      </x:c>
      <x:c r="B8" s="3"/>
      <x:c r="C8" s="3"/>
      <x:c r="D8" s="3"/>
      <x:c r="E8" s="3"/>
      <x:c r="F8" s="3"/>
    </x:row>
    <x:row r="9" ht="22.5" customHeight="1">
      <x:c r="A9" s="3" t="s">
        <x:v>296</x:v>
      </x:c>
      <x:c r="B9" s="3"/>
      <x:c r="C9" s="3"/>
      <x:c r="D9" s="3"/>
      <x:c r="E9" s="3"/>
      <x:c r="F9" s="3"/>
    </x:row>
    <x:row r="10" ht="22.5" customHeight="1">
      <x:c r="A10" s="3" t="s">
        <x:v>387</x:v>
      </x:c>
      <x:c r="B10" s="3"/>
      <x:c r="C10" s="3"/>
      <x:c r="D10" s="3"/>
      <x:c r="E10" s="3"/>
      <x:c r="F10" s="3"/>
    </x:row>
    <x:row r="11" ht="22.5" customHeight="1">
      <x:c r="A11" s="3" t="s">
        <x:v>388</x:v>
      </x:c>
      <x:c r="B11" s="3"/>
      <x:c r="C11" s="3"/>
      <x:c r="D11" s="3"/>
      <x:c r="E11" s="3"/>
      <x:c r="F11" s="3"/>
    </x:row>
    <x:row r="12" ht="22.5" customHeight="1">
      <x:c r="A12" s="3" t="s">
        <x:v>389</x:v>
      </x:c>
      <x:c r="B12" s="3"/>
      <x:c r="C12" s="3"/>
      <x:c r="D12" s="3"/>
      <x:c r="E12" s="3"/>
      <x:c r="F12" s="3"/>
    </x:row>
    <x:row r="13" ht="22.5" customHeight="1">
      <x:c r="A13" s="3" t="s">
        <x:v>390</x:v>
      </x:c>
      <x:c r="B13" s="3"/>
      <x:c r="C13" s="3"/>
      <x:c r="D13" s="3"/>
      <x:c r="E13" s="3"/>
      <x:c r="F13" s="3"/>
    </x:row>
    <x:row r="14" ht="22.5" customHeight="1">
      <x:c r="A14" s="3" t="s">
        <x:v>391</x:v>
      </x:c>
      <x:c r="B14" s="3"/>
      <x:c r="C14" s="3"/>
      <x:c r="D14" s="3"/>
      <x:c r="E14" s="3"/>
      <x:c r="F14" s="3"/>
    </x:row>
    <x:row r="15" ht="22.5" customHeight="1">
      <x:c r="A15" s="3" t="s">
        <x:v>245</x:v>
      </x:c>
      <x:c r="B15" s="3"/>
      <x:c r="C15" s="3"/>
      <x:c r="D15" s="3"/>
      <x:c r="E15" s="3"/>
      <x:c r="F15" s="3"/>
    </x:row>
    <x:row r="16" ht="27" customHeight="1">
      <x:c r="A16" s="4" t="s">
        <x:v>392</x:v>
      </x:c>
      <x:c r="B16" s="4"/>
      <x:c r="C16" s="4"/>
      <x:c r="D16" s="4"/>
      <x:c r="E16" s="4"/>
      <x:c r="F16" s="4"/>
    </x:row>
    <x:row r="17" ht="48.75" customHeight="1">
      <x:c r="A17" s="5" t="s">
        <x:v>393</x:v>
      </x:c>
      <x:c r="B17" s="5" t="s">
        <x:v>394</x:v>
      </x:c>
      <x:c r="C17" s="5" t="s">
        <x:v>395</x:v>
      </x:c>
      <x:c r="D17" s="5" t="s">
        <x:v>396</x:v>
      </x:c>
      <x:c r="E17" s="5" t="s">
        <x:v>397</x:v>
      </x:c>
      <x:c r="F17" s="5" t="s">
        <x:v>398</x:v>
      </x:c>
    </x:row>
    <x:row r="18" ht="79.5" customHeight="1">
      <x:c r="A18" s="7" t="s">
        <x:v>399</x:v>
      </x:c>
      <x:c r="B18" s="16"/>
      <x:c r="C18" s="16"/>
      <x:c r="D18" s="16"/>
      <x:c r="E18" s="16"/>
      <x:c r="F18" s="16"/>
    </x:row>
    <x:row r="19" ht="79.5" customHeight="1">
      <x:c r="A19" s="7" t="s">
        <x:v>400</x:v>
      </x:c>
      <x:c r="B19" s="16"/>
      <x:c r="C19" s="16"/>
      <x:c r="D19" s="16"/>
      <x:c r="E19" s="16"/>
      <x:c r="F19" s="16"/>
    </x:row>
    <x:row r="20" ht="79.5" customHeight="1">
      <x:c r="A20" s="7" t="s">
        <x:v>401</x:v>
      </x:c>
      <x:c r="B20" s="16"/>
      <x:c r="C20" s="16"/>
      <x:c r="D20" s="16"/>
      <x:c r="E20" s="16"/>
      <x:c r="F20" s="16"/>
    </x:row>
    <x:row r="21" ht="79.5" customHeight="1">
      <x:c r="A21" s="7" t="s">
        <x:v>402</x:v>
      </x:c>
      <x:c r="B21" s="16"/>
      <x:c r="C21" s="16"/>
      <x:c r="D21" s="16"/>
      <x:c r="E21" s="16"/>
      <x:c r="F21" s="16"/>
    </x:row>
    <x:row r="22" ht="21.75" customHeight="1">
      <x:c r="A22" s="2"/>
      <x:c r="B22" s="2"/>
      <x:c r="C22" s="2"/>
      <x:c r="D22" s="2"/>
      <x:c r="E22" s="2"/>
      <x:c r="F22" s="2"/>
    </x:row>
    <x:row r="23" ht="21.75" customHeight="1">
      <x:c r="A23" s="2"/>
      <x:c r="B23" s="2"/>
      <x:c r="C23" s="2"/>
      <x:c r="D23" s="2"/>
      <x:c r="E23" s="2"/>
      <x:c r="F23" s="2"/>
    </x:row>
    <x:row r="24" ht="27" customHeight="1">
      <x:c r="A24" s="4" t="s">
        <x:v>403</x:v>
      </x:c>
      <x:c r="B24" s="4"/>
      <x:c r="C24" s="4"/>
      <x:c r="D24" s="4"/>
      <x:c r="E24" s="4"/>
      <x:c r="F24" s="4"/>
    </x:row>
    <x:row r="25" ht="48.75" customHeight="1">
      <x:c r="A25" s="5" t="s">
        <x:v>404</x:v>
      </x:c>
      <x:c r="B25" s="5" t="s">
        <x:v>405</x:v>
      </x:c>
      <x:c r="C25" s="5" t="s">
        <x:v>406</x:v>
      </x:c>
      <x:c r="D25" s="2"/>
      <x:c r="E25" s="2"/>
      <x:c r="F25" s="2"/>
    </x:row>
    <x:row r="26" ht="79.5" customHeight="1">
      <x:c r="A26" s="26" t="s">
        <x:v>407</x:v>
      </x:c>
      <x:c r="B26" s="16"/>
      <x:c r="C26" s="16"/>
      <x:c r="D26" s="2"/>
      <x:c r="E26" s="2"/>
      <x:c r="F26" s="2"/>
    </x:row>
    <x:row r="27" ht="79.5" customHeight="1">
      <x:c r="A27" s="26" t="s">
        <x:v>408</x:v>
      </x:c>
      <x:c r="B27" s="16"/>
      <x:c r="C27" s="16"/>
      <x:c r="D27" s="2"/>
      <x:c r="E27" s="2"/>
      <x:c r="F27" s="2"/>
    </x:row>
    <x:row r="28" ht="79.5" customHeight="1">
      <x:c r="A28" s="26" t="s">
        <x:v>409</x:v>
      </x:c>
      <x:c r="B28" s="16"/>
      <x:c r="C28" s="16"/>
      <x:c r="D28" s="2"/>
      <x:c r="E28" s="2"/>
      <x:c r="F28" s="2"/>
    </x:row>
    <x:row r="29" ht="21.75" customHeight="1">
      <x:c r="A29" s="2"/>
      <x:c r="B29" s="2"/>
      <x:c r="C29" s="2"/>
      <x:c r="D29" s="2"/>
      <x:c r="E29" s="2"/>
      <x:c r="F29" s="2"/>
    </x:row>
    <x:row r="30" ht="21.75" customHeight="1">
      <x:c r="A30" s="2"/>
      <x:c r="B30" s="2"/>
      <x:c r="C30" s="2"/>
      <x:c r="D30" s="2"/>
      <x:c r="E30" s="2"/>
      <x:c r="F30" s="2"/>
    </x:row>
    <x:row r="31" ht="27" customHeight="1">
      <x:c r="A31" s="4" t="s">
        <x:v>278</x:v>
      </x:c>
      <x:c r="B31" s="4"/>
      <x:c r="C31" s="4"/>
      <x:c r="D31" s="4"/>
      <x:c r="E31" s="4"/>
      <x:c r="F31" s="4"/>
    </x:row>
    <x:row r="32" ht="22.5" customHeight="1">
      <x:c r="A32" s="3" t="s">
        <x:v>410</x:v>
      </x:c>
      <x:c r="B32" s="3"/>
      <x:c r="C32" s="3"/>
      <x:c r="D32" s="3"/>
      <x:c r="E32" s="3"/>
      <x:c r="F32" s="3"/>
    </x:row>
    <x:row r="33" ht="22.5" customHeight="1">
      <x:c r="A33" s="3" t="s">
        <x:v>411</x:v>
      </x:c>
      <x:c r="B33" s="3"/>
      <x:c r="C33" s="3"/>
      <x:c r="D33" s="3"/>
      <x:c r="E33" s="3"/>
      <x:c r="F33" s="3"/>
    </x:row>
    <x:row r="34" ht="22.5" customHeight="1">
      <x:c r="A34" s="3" t="s">
        <x:v>412</x:v>
      </x:c>
      <x:c r="B34" s="3"/>
      <x:c r="C34" s="3"/>
      <x:c r="D34" s="3"/>
      <x:c r="E34" s="3"/>
      <x:c r="F34" s="3"/>
    </x:row>
    <x:row r="35" ht="22.5" customHeight="1">
      <x:c r="A35" s="3" t="s">
        <x:v>413</x:v>
      </x:c>
      <x:c r="B35" s="3"/>
      <x:c r="C35" s="3"/>
      <x:c r="D35" s="3"/>
      <x:c r="E35" s="3"/>
      <x:c r="F35" s="3"/>
    </x:row>
    <x:row r="36" ht="22.5" customHeight="1">
      <x:c r="A36" s="3" t="s">
        <x:v>414</x:v>
      </x:c>
      <x:c r="B36" s="3"/>
      <x:c r="C36" s="3"/>
      <x:c r="D36" s="3"/>
      <x:c r="E36" s="3"/>
      <x:c r="F36" s="3"/>
    </x:row>
    <x:row r="37" ht="22.5" customHeight="1">
      <x:c r="A37" s="3" t="s">
        <x:v>415</x:v>
      </x:c>
      <x:c r="B37" s="3"/>
      <x:c r="C37" s="3"/>
      <x:c r="D37" s="3"/>
      <x:c r="E37" s="3"/>
      <x:c r="F37" s="3"/>
    </x:row>
    <x:row r="38" ht="22.5" customHeight="1">
      <x:c r="A38" s="3" t="s">
        <x:v>416</x:v>
      </x:c>
      <x:c r="B38" s="3"/>
      <x:c r="C38" s="3"/>
      <x:c r="D38" s="3"/>
      <x:c r="E38" s="3"/>
      <x:c r="F38" s="3"/>
    </x:row>
    <x:row r="39" ht="22.5" customHeight="1">
      <x:c r="A39" s="3" t="s">
        <x:v>417</x:v>
      </x:c>
      <x:c r="B39" s="3"/>
      <x:c r="C39" s="3"/>
      <x:c r="D39" s="3"/>
      <x:c r="E39" s="3"/>
      <x:c r="F39" s="3"/>
    </x:row>
    <x:row r="40" ht="22.5" customHeight="1">
      <x:c r="A40" s="3" t="s">
        <x:v>418</x:v>
      </x:c>
      <x:c r="B40" s="3"/>
      <x:c r="C40" s="3"/>
      <x:c r="D40" s="3"/>
      <x:c r="E40" s="3"/>
      <x:c r="F40" s="3"/>
    </x:row>
    <x:row r="41" ht="22.5" customHeight="1">
      <x:c r="A41" s="3" t="s">
        <x:v>419</x:v>
      </x:c>
      <x:c r="B41" s="3"/>
      <x:c r="C41" s="3"/>
      <x:c r="D41" s="3"/>
      <x:c r="E41" s="3"/>
      <x:c r="F41" s="3"/>
    </x:row>
    <x:row r="42" ht="22.5" customHeight="1">
      <x:c r="A42" s="3" t="s">
        <x:v>420</x:v>
      </x:c>
      <x:c r="B42" s="3"/>
      <x:c r="C42" s="3"/>
      <x:c r="D42" s="3"/>
      <x:c r="E42" s="3"/>
      <x:c r="F42" s="3"/>
    </x:row>
    <x:row r="43" ht="27" customHeight="1">
      <x:c r="A43" s="4" t="s">
        <x:v>421</x:v>
      </x:c>
      <x:c r="B43" s="4"/>
      <x:c r="C43" s="4"/>
      <x:c r="D43" s="4"/>
      <x:c r="E43" s="4"/>
      <x:c r="F43" s="4"/>
    </x:row>
    <x:row r="44" ht="22.5" customHeight="1">
      <x:c r="A44" s="10" t="s">
        <x:v>422</x:v>
      </x:c>
      <x:c r="B44" s="10"/>
      <x:c r="C44" s="10"/>
      <x:c r="D44" s="10"/>
      <x:c r="E44" s="10"/>
      <x:c r="F44" s="10"/>
    </x:row>
    <x:row r="45" ht="22.5" customHeight="1">
      <x:c r="A45" s="3" t="s">
        <x:v>423</x:v>
      </x:c>
      <x:c r="B45" s="3"/>
      <x:c r="C45" s="3"/>
      <x:c r="D45" s="3"/>
      <x:c r="E45" s="3"/>
      <x:c r="F45" s="3"/>
    </x:row>
    <x:row r="46" ht="22.5" customHeight="1">
      <x:c r="A46" s="3" t="s">
        <x:v>424</x:v>
      </x:c>
      <x:c r="B46" s="3"/>
      <x:c r="C46" s="3"/>
      <x:c r="D46" s="3"/>
      <x:c r="E46" s="3"/>
      <x:c r="F46" s="3"/>
    </x:row>
    <x:row r="47" ht="22.5" customHeight="1">
      <x:c r="A47" s="3" t="s">
        <x:v>425</x:v>
      </x:c>
      <x:c r="B47" s="3"/>
      <x:c r="C47" s="3"/>
      <x:c r="D47" s="3"/>
      <x:c r="E47" s="3"/>
      <x:c r="F47" s="3"/>
    </x:row>
    <x:row r="48" ht="22.5" customHeight="1">
      <x:c r="A48" s="3" t="s">
        <x:v>426</x:v>
      </x:c>
      <x:c r="B48" s="3"/>
      <x:c r="C48" s="3"/>
      <x:c r="D48" s="3"/>
      <x:c r="E48" s="3"/>
      <x:c r="F48" s="3"/>
    </x:row>
    <x:row r="49" ht="22.5" customHeight="1">
      <x:c r="A49" s="3" t="s">
        <x:v>427</x:v>
      </x:c>
      <x:c r="B49" s="3"/>
      <x:c r="C49" s="3"/>
      <x:c r="D49" s="3"/>
      <x:c r="E49" s="3"/>
      <x:c r="F49" s="3"/>
    </x:row>
    <x:row r="50" ht="27" customHeight="1">
      <x:c r="A50" s="4" t="s">
        <x:v>428</x:v>
      </x:c>
      <x:c r="B50" s="4"/>
      <x:c r="C50" s="4"/>
      <x:c r="D50" s="4"/>
      <x:c r="E50" s="4"/>
      <x:c r="F50" s="4"/>
    </x:row>
    <x:row r="51" ht="48.75" customHeight="1">
      <x:c r="A51" s="5" t="s">
        <x:v>393</x:v>
      </x:c>
      <x:c r="B51" s="5" t="s">
        <x:v>429</x:v>
      </x:c>
      <x:c r="C51" s="5" t="s">
        <x:v>430</x:v>
      </x:c>
      <x:c r="D51" s="2"/>
      <x:c r="E51" s="2"/>
      <x:c r="F51" s="2"/>
    </x:row>
    <x:row r="52" ht="117" customHeight="1">
      <x:c r="A52" s="15" t="s">
        <x:v>399</x:v>
      </x:c>
      <x:c r="B52" s="15" t="s">
        <x:v>431</x:v>
      </x:c>
      <x:c r="C52" s="15" t="s">
        <x:v>432</x:v>
      </x:c>
      <x:c r="D52" s="2"/>
      <x:c r="E52" s="2"/>
      <x:c r="F52" s="2"/>
    </x:row>
    <x:row r="53" ht="117" customHeight="1">
      <x:c r="A53" s="15" t="s">
        <x:v>400</x:v>
      </x:c>
      <x:c r="B53" s="15" t="s">
        <x:v>433</x:v>
      </x:c>
      <x:c r="C53" s="15" t="s">
        <x:v>434</x:v>
      </x:c>
      <x:c r="D53" s="2"/>
      <x:c r="E53" s="2"/>
      <x:c r="F53" s="2"/>
    </x:row>
    <x:row r="54" ht="132" customHeight="1">
      <x:c r="A54" s="15" t="s">
        <x:v>401</x:v>
      </x:c>
      <x:c r="B54" s="15" t="s">
        <x:v>435</x:v>
      </x:c>
      <x:c r="C54" s="15" t="s">
        <x:v>436</x:v>
      </x:c>
      <x:c r="D54" s="2"/>
      <x:c r="E54" s="2"/>
      <x:c r="F54" s="2"/>
    </x:row>
    <x:row r="55" ht="147" customHeight="1">
      <x:c r="A55" s="15" t="s">
        <x:v>402</x:v>
      </x:c>
      <x:c r="B55" s="15" t="s">
        <x:v>437</x:v>
      </x:c>
      <x:c r="C55" s="15" t="s">
        <x:v>438</x:v>
      </x:c>
      <x:c r="D55" s="2"/>
      <x:c r="E55" s="2"/>
      <x:c r="F55" s="2"/>
    </x:row>
    <x:row r="56" ht="21.75" customHeight="1">
      <x:c r="A56" s="2"/>
      <x:c r="B56" s="2"/>
      <x:c r="C56" s="2"/>
      <x:c r="D56" s="2"/>
      <x:c r="E56" s="2"/>
      <x:c r="F56" s="2"/>
    </x:row>
    <x:row r="57" ht="21.75" customHeight="1">
      <x:c r="A57" s="2"/>
      <x:c r="B57" s="2"/>
      <x:c r="C57" s="2"/>
      <x:c r="D57" s="2"/>
      <x:c r="E57" s="2"/>
      <x:c r="F57" s="2"/>
    </x:row>
    <x:row r="58" ht="22.5" customHeight="1">
      <x:c r="A58" s="3" t="s">
        <x:v>302</x:v>
      </x:c>
      <x:c r="B58" s="3"/>
      <x:c r="C58" s="3"/>
      <x:c r="D58" s="3"/>
      <x:c r="E58" s="3"/>
      <x:c r="F58" s="3"/>
    </x:row>
    <x:row r="59" ht="21.75" customHeight="1">
      <x:c r="A59" s="2"/>
      <x:c r="B59" s="2"/>
      <x:c r="C59" s="2"/>
      <x:c r="D59" s="2"/>
      <x:c r="E59" s="2"/>
      <x:c r="F59" s="2"/>
    </x:row>
    <x:row r="60" ht="21.75" customHeight="1">
      <x:c r="A60" s="6" t="s">
        <x:v>380</x:v>
      </x:c>
      <x:c r="B60" s="2"/>
      <x:c r="C60" s="2"/>
      <x:c r="D60" s="2"/>
      <x:c r="E60" s="2"/>
      <x:c r="F60" s="2"/>
    </x:row>
    <x:row r="61" ht="22.5" customHeight="1">
      <x:c r="A61" s="3" t="s">
        <x:v>381</x:v>
      </x:c>
      <x:c r="B61" s="3"/>
      <x:c r="C61" s="3"/>
      <x:c r="D61" s="3"/>
      <x:c r="E61" s="3"/>
      <x:c r="F61" s="3"/>
    </x:row>
    <x:row r="62" ht="21.75" customHeight="1"/>
    <x:row r="63" ht="21.75" customHeight="1"/>
    <x:row r="64" ht="21.75" customHeight="1"/>
    <x:row r="65" ht="21.75" customHeight="1"/>
    <x:row r="66" ht="21.75" customHeight="1"/>
    <x:row r="67" ht="21.75" customHeight="1"/>
    <x:row r="68" ht="21.75" customHeight="1"/>
    <x:row r="69" ht="21.75" customHeight="1"/>
    <x:row r="70" ht="21.75" customHeight="1"/>
    <x:row r="71" ht="21.75" customHeight="1"/>
    <x:row r="72" ht="21.75" customHeight="1"/>
    <x:row r="73" ht="21.75" customHeight="1"/>
    <x:row r="74" ht="21.75" customHeight="1"/>
    <x:row r="75" ht="21.75" customHeight="1"/>
    <x:row r="76" ht="21.75" customHeight="1"/>
    <x:row r="77" ht="21.75" customHeight="1"/>
    <x:row r="78" ht="21.75" customHeight="1"/>
    <x:row r="79" ht="21.75" customHeight="1"/>
    <x:row r="80" ht="21.75" customHeight="1"/>
    <x:row r="81" ht="21.75" customHeight="1"/>
    <x:row r="82" ht="21.75" customHeight="1"/>
    <x:row r="83" ht="21.75" customHeight="1"/>
    <x:row r="84" ht="21.75" customHeight="1"/>
    <x:row r="85" ht="21.75" customHeight="1"/>
    <x:row r="86" ht="21.75" customHeight="1"/>
    <x:row r="87" ht="21.75" customHeight="1"/>
    <x:row r="88" ht="21.75" customHeight="1"/>
    <x:row r="89" ht="21.75" customHeight="1"/>
    <x:row r="90" ht="21.75" customHeight="1"/>
    <x:row r="91" ht="21.75" customHeight="1"/>
    <x:row r="92" ht="21.75" customHeight="1"/>
    <x:row r="93" ht="21.75" customHeight="1"/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60" location="'С02_Решения'!A1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7" customWidth="1"/>
    <x:col min="2" max="2" width="31" customWidth="1"/>
    <x:col min="3" max="5" width="27" customWidth="1"/>
    <x:col min="6" max="6" width="29" customWidth="1"/>
    <x:col min="7" max="26" width="8.630000114440918" customWidth="1"/>
  </x:cols>
  <x:sheetData>
    <x:row r="1" ht="28.5" customHeight="1">
      <x:c r="A1" s="1" t="s">
        <x:v>439</x:v>
      </x:c>
      <x:c r="B1" s="1"/>
      <x:c r="C1" s="1"/>
      <x:c r="D1" s="1"/>
      <x:c r="E1" s="1"/>
      <x:c r="F1" s="1"/>
    </x:row>
    <x:row r="2" ht="21.75" customHeight="1">
      <x:c r="A2" s="2"/>
      <x:c r="B2" s="2"/>
      <x:c r="C2" s="2"/>
      <x:c r="D2" s="2"/>
      <x:c r="E2" s="2"/>
      <x:c r="F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  <x:c r="F3" s="2"/>
    </x:row>
    <x:row r="4" ht="21.75" customHeight="1">
      <x:c r="A4" s="2"/>
      <x:c r="B4" s="2"/>
      <x:c r="C4" s="2"/>
      <x:c r="D4" s="2"/>
      <x:c r="E4" s="2"/>
      <x:c r="F4" s="2"/>
    </x:row>
    <x:row r="5" ht="22.5" customHeight="1">
      <x:c r="A5" s="10" t="s">
        <x:v>440</x:v>
      </x:c>
      <x:c r="B5" s="10"/>
      <x:c r="C5" s="10"/>
      <x:c r="D5" s="10"/>
      <x:c r="E5" s="10"/>
      <x:c r="F5" s="10"/>
    </x:row>
    <x:row r="6" ht="22.5" customHeight="1">
      <x:c r="A6" s="3" t="s">
        <x:v>441</x:v>
      </x:c>
      <x:c r="B6" s="3"/>
      <x:c r="C6" s="3"/>
      <x:c r="D6" s="3"/>
      <x:c r="E6" s="3"/>
      <x:c r="F6" s="3"/>
    </x:row>
    <x:row r="7" ht="22.5" customHeight="1">
      <x:c r="A7" s="3" t="s">
        <x:v>442</x:v>
      </x:c>
      <x:c r="B7" s="3"/>
      <x:c r="C7" s="3"/>
      <x:c r="D7" s="3"/>
      <x:c r="E7" s="3"/>
      <x:c r="F7" s="3"/>
    </x:row>
    <x:row r="8" ht="22.5" customHeight="1">
      <x:c r="A8" s="3" t="s">
        <x:v>443</x:v>
      </x:c>
      <x:c r="B8" s="3"/>
      <x:c r="C8" s="3"/>
      <x:c r="D8" s="3"/>
      <x:c r="E8" s="3"/>
      <x:c r="F8" s="3"/>
    </x:row>
    <x:row r="9" ht="22.5" customHeight="1">
      <x:c r="A9" s="3" t="s">
        <x:v>444</x:v>
      </x:c>
      <x:c r="B9" s="3"/>
      <x:c r="C9" s="3"/>
      <x:c r="D9" s="3"/>
      <x:c r="E9" s="3"/>
      <x:c r="F9" s="3"/>
    </x:row>
    <x:row r="10" ht="22.5" customHeight="1">
      <x:c r="A10" s="3" t="s">
        <x:v>445</x:v>
      </x:c>
      <x:c r="B10" s="3"/>
      <x:c r="C10" s="3"/>
      <x:c r="D10" s="3"/>
      <x:c r="E10" s="3"/>
      <x:c r="F10" s="3"/>
    </x:row>
    <x:row r="11" ht="22.5" customHeight="1">
      <x:c r="A11" s="3" t="s">
        <x:v>446</x:v>
      </x:c>
      <x:c r="B11" s="3"/>
      <x:c r="C11" s="3"/>
      <x:c r="D11" s="3"/>
      <x:c r="E11" s="3"/>
      <x:c r="F11" s="3"/>
    </x:row>
    <x:row r="12" ht="22.5" customHeight="1">
      <x:c r="A12" s="3" t="s">
        <x:v>447</x:v>
      </x:c>
      <x:c r="B12" s="3"/>
      <x:c r="C12" s="3"/>
      <x:c r="D12" s="3"/>
      <x:c r="E12" s="3"/>
      <x:c r="F12" s="3"/>
    </x:row>
    <x:row r="13" ht="22.5" customHeight="1">
      <x:c r="A13" s="3" t="s">
        <x:v>448</x:v>
      </x:c>
      <x:c r="B13" s="3"/>
      <x:c r="C13" s="3"/>
      <x:c r="D13" s="3"/>
      <x:c r="E13" s="3"/>
      <x:c r="F13" s="3"/>
    </x:row>
    <x:row r="14" ht="22.5" customHeight="1">
      <x:c r="A14" s="3" t="s">
        <x:v>449</x:v>
      </x:c>
      <x:c r="B14" s="3"/>
      <x:c r="C14" s="3"/>
      <x:c r="D14" s="3"/>
      <x:c r="E14" s="3"/>
      <x:c r="F14" s="3"/>
    </x:row>
    <x:row r="15" ht="22.5" customHeight="1">
      <x:c r="A15" s="3" t="s">
        <x:v>450</x:v>
      </x:c>
      <x:c r="B15" s="3"/>
      <x:c r="C15" s="3"/>
      <x:c r="D15" s="3"/>
      <x:c r="E15" s="3"/>
      <x:c r="F15" s="3"/>
    </x:row>
    <x:row r="16" ht="22.5" customHeight="1">
      <x:c r="A16" s="3" t="s">
        <x:v>245</x:v>
      </x:c>
      <x:c r="B16" s="3"/>
      <x:c r="C16" s="3"/>
      <x:c r="D16" s="3"/>
      <x:c r="E16" s="3"/>
      <x:c r="F16" s="3"/>
    </x:row>
    <x:row r="17" ht="27" customHeight="1">
      <x:c r="A17" s="4" t="s">
        <x:v>451</x:v>
      </x:c>
      <x:c r="B17" s="4"/>
      <x:c r="C17" s="4"/>
      <x:c r="D17" s="4"/>
      <x:c r="E17" s="4"/>
      <x:c r="F17" s="4"/>
    </x:row>
    <x:row r="18" ht="48.75" customHeight="1">
      <x:c r="A18" s="5" t="s">
        <x:v>452</x:v>
      </x:c>
      <x:c r="B18" s="5" t="s">
        <x:v>453</x:v>
      </x:c>
      <x:c r="C18" s="5" t="s">
        <x:v>454</x:v>
      </x:c>
      <x:c r="D18" s="5" t="s">
        <x:v>455</x:v>
      </x:c>
      <x:c r="E18" s="5" t="s">
        <x:v>456</x:v>
      </x:c>
      <x:c r="F18" s="5" t="s">
        <x:v>457</x:v>
      </x:c>
    </x:row>
    <x:row r="19" ht="79.5" customHeight="1">
      <x:c r="A19" s="7" t="s">
        <x:v>458</x:v>
      </x:c>
      <x:c r="B19" s="16"/>
      <x:c r="C19" s="16"/>
      <x:c r="D19" s="16"/>
      <x:c r="E19" s="16"/>
      <x:c r="F19" s="16"/>
    </x:row>
    <x:row r="20" ht="79.5" customHeight="1">
      <x:c r="A20" s="7" t="s">
        <x:v>459</x:v>
      </x:c>
      <x:c r="B20" s="16"/>
      <x:c r="C20" s="16"/>
      <x:c r="D20" s="16"/>
      <x:c r="E20" s="16"/>
      <x:c r="F20" s="16"/>
    </x:row>
    <x:row r="21" ht="79.5" customHeight="1">
      <x:c r="A21" s="7" t="s">
        <x:v>460</x:v>
      </x:c>
      <x:c r="B21" s="16"/>
      <x:c r="C21" s="16"/>
      <x:c r="D21" s="16"/>
      <x:c r="E21" s="16"/>
      <x:c r="F21" s="16"/>
    </x:row>
    <x:row r="22" ht="79.5" customHeight="1">
      <x:c r="A22" s="7" t="s">
        <x:v>461</x:v>
      </x:c>
      <x:c r="B22" s="16"/>
      <x:c r="C22" s="16"/>
      <x:c r="D22" s="16"/>
      <x:c r="E22" s="16"/>
      <x:c r="F22" s="16"/>
    </x:row>
    <x:row r="23" ht="21.75" customHeight="1">
      <x:c r="A23" s="2"/>
      <x:c r="B23" s="2"/>
      <x:c r="C23" s="2"/>
      <x:c r="D23" s="2"/>
      <x:c r="E23" s="2"/>
      <x:c r="F23" s="2"/>
    </x:row>
    <x:row r="24" ht="21.75" customHeight="1">
      <x:c r="A24" s="2"/>
      <x:c r="B24" s="2"/>
      <x:c r="C24" s="2"/>
      <x:c r="D24" s="2"/>
      <x:c r="E24" s="2"/>
      <x:c r="F24" s="2"/>
    </x:row>
    <x:row r="25" ht="27" customHeight="1">
      <x:c r="A25" s="4" t="s">
        <x:v>462</x:v>
      </x:c>
      <x:c r="B25" s="4"/>
      <x:c r="C25" s="4"/>
      <x:c r="D25" s="4"/>
      <x:c r="E25" s="4"/>
      <x:c r="F25" s="4"/>
    </x:row>
    <x:row r="26" ht="48.75" customHeight="1">
      <x:c r="A26" s="5" t="s">
        <x:v>3</x:v>
      </x:c>
      <x:c r="B26" s="5" t="s">
        <x:v>463</x:v>
      </x:c>
      <x:c r="C26" s="2"/>
      <x:c r="D26" s="2"/>
      <x:c r="E26" s="2"/>
      <x:c r="F26" s="2"/>
    </x:row>
    <x:row r="27" ht="105" customHeight="1">
      <x:c r="A27" s="7" t="s">
        <x:v>464</x:v>
      </x:c>
      <x:c r="B27" s="16"/>
      <x:c r="C27" s="2"/>
      <x:c r="D27" s="2"/>
      <x:c r="E27" s="2"/>
      <x:c r="F27" s="2"/>
    </x:row>
    <x:row r="28" ht="105" customHeight="1">
      <x:c r="A28" s="7" t="s">
        <x:v>465</x:v>
      </x:c>
      <x:c r="B28" s="16"/>
      <x:c r="C28" s="2"/>
      <x:c r="D28" s="2"/>
      <x:c r="E28" s="2"/>
      <x:c r="F28" s="2"/>
    </x:row>
    <x:row r="29" ht="105" customHeight="1">
      <x:c r="A29" s="7" t="s">
        <x:v>466</x:v>
      </x:c>
      <x:c r="B29" s="16"/>
      <x:c r="C29" s="2"/>
      <x:c r="D29" s="2"/>
      <x:c r="E29" s="2"/>
      <x:c r="F29" s="2"/>
    </x:row>
    <x:row r="30" ht="105" customHeight="1">
      <x:c r="A30" s="7" t="s">
        <x:v>467</x:v>
      </x:c>
      <x:c r="B30" s="16"/>
      <x:c r="C30" s="2"/>
      <x:c r="D30" s="2"/>
      <x:c r="E30" s="2"/>
      <x:c r="F30" s="2"/>
    </x:row>
    <x:row r="31" ht="105" customHeight="1">
      <x:c r="A31" s="7" t="s">
        <x:v>468</x:v>
      </x:c>
      <x:c r="B31" s="16"/>
      <x:c r="C31" s="2"/>
      <x:c r="D31" s="2"/>
      <x:c r="E31" s="2"/>
      <x:c r="F31" s="2"/>
    </x:row>
    <x:row r="32" ht="105" customHeight="1">
      <x:c r="A32" s="7" t="s">
        <x:v>469</x:v>
      </x:c>
      <x:c r="B32" s="16"/>
      <x:c r="C32" s="2"/>
      <x:c r="D32" s="2"/>
      <x:c r="E32" s="2"/>
      <x:c r="F32" s="2"/>
    </x:row>
    <x:row r="33" ht="105" customHeight="1">
      <x:c r="A33" s="7" t="s">
        <x:v>470</x:v>
      </x:c>
      <x:c r="B33" s="16"/>
      <x:c r="C33" s="2"/>
      <x:c r="D33" s="2"/>
      <x:c r="E33" s="2"/>
      <x:c r="F33" s="2"/>
    </x:row>
    <x:row r="34" ht="105" customHeight="1">
      <x:c r="A34" s="7" t="s">
        <x:v>471</x:v>
      </x:c>
      <x:c r="B34" s="16"/>
      <x:c r="C34" s="2"/>
      <x:c r="D34" s="2"/>
      <x:c r="E34" s="2"/>
      <x:c r="F34" s="2"/>
    </x:row>
    <x:row r="35" ht="21.75" customHeight="1">
      <x:c r="A35" s="2"/>
      <x:c r="B35" s="2"/>
      <x:c r="C35" s="2"/>
      <x:c r="D35" s="2"/>
      <x:c r="E35" s="2"/>
      <x:c r="F35" s="2"/>
    </x:row>
    <x:row r="36" ht="21.75" customHeight="1">
      <x:c r="A36" s="2"/>
      <x:c r="B36" s="2"/>
      <x:c r="C36" s="2"/>
      <x:c r="D36" s="2"/>
      <x:c r="E36" s="2"/>
      <x:c r="F36" s="2"/>
    </x:row>
    <x:row r="37" ht="27" customHeight="1">
      <x:c r="A37" s="4" t="s">
        <x:v>472</x:v>
      </x:c>
      <x:c r="B37" s="4"/>
      <x:c r="C37" s="4"/>
      <x:c r="D37" s="4"/>
      <x:c r="E37" s="4"/>
      <x:c r="F37" s="4"/>
    </x:row>
    <x:row r="38" ht="48.75" customHeight="1">
      <x:c r="A38" s="5" t="s">
        <x:v>473</x:v>
      </x:c>
      <x:c r="B38" s="5" t="s">
        <x:v>273</x:v>
      </x:c>
      <x:c r="C38" s="5" t="s">
        <x:v>474</x:v>
      </x:c>
      <x:c r="D38" s="5" t="s">
        <x:v>475</x:v>
      </x:c>
      <x:c r="E38" s="2"/>
      <x:c r="F38" s="2"/>
    </x:row>
    <x:row r="39" ht="79.5" customHeight="1">
      <x:c r="A39" s="16"/>
      <x:c r="B39" s="16"/>
      <x:c r="C39" s="16"/>
      <x:c r="D39" s="16"/>
      <x:c r="E39" s="2"/>
      <x:c r="F39" s="2"/>
    </x:row>
    <x:row r="40" ht="79.5" customHeight="1">
      <x:c r="A40" s="16"/>
      <x:c r="B40" s="16"/>
      <x:c r="C40" s="16"/>
      <x:c r="D40" s="16"/>
      <x:c r="E40" s="2"/>
      <x:c r="F40" s="2"/>
    </x:row>
    <x:row r="41" ht="79.5" customHeight="1">
      <x:c r="A41" s="16"/>
      <x:c r="B41" s="16"/>
      <x:c r="C41" s="16"/>
      <x:c r="D41" s="16"/>
      <x:c r="E41" s="2"/>
      <x:c r="F41" s="2"/>
    </x:row>
    <x:row r="42" ht="21.75" customHeight="1">
      <x:c r="A42" s="2"/>
      <x:c r="B42" s="2"/>
      <x:c r="C42" s="2"/>
      <x:c r="D42" s="2"/>
      <x:c r="E42" s="2"/>
      <x:c r="F42" s="2"/>
    </x:row>
    <x:row r="43" ht="21.75" customHeight="1">
      <x:c r="A43" s="2"/>
      <x:c r="B43" s="2"/>
      <x:c r="C43" s="2"/>
      <x:c r="D43" s="2"/>
      <x:c r="E43" s="2"/>
      <x:c r="F43" s="2"/>
    </x:row>
    <x:row r="44" ht="27" customHeight="1">
      <x:c r="A44" s="4" t="s">
        <x:v>278</x:v>
      </x:c>
      <x:c r="B44" s="4"/>
      <x:c r="C44" s="4"/>
      <x:c r="D44" s="4"/>
      <x:c r="E44" s="4"/>
      <x:c r="F44" s="4"/>
    </x:row>
    <x:row r="45" ht="22.5" customHeight="1">
      <x:c r="A45" s="3" t="s">
        <x:v>476</x:v>
      </x:c>
      <x:c r="B45" s="3"/>
      <x:c r="C45" s="3"/>
      <x:c r="D45" s="3"/>
      <x:c r="E45" s="3"/>
      <x:c r="F45" s="3"/>
    </x:row>
    <x:row r="46" ht="22.5" customHeight="1">
      <x:c r="A46" s="3" t="s">
        <x:v>477</x:v>
      </x:c>
      <x:c r="B46" s="3"/>
      <x:c r="C46" s="3"/>
      <x:c r="D46" s="3"/>
      <x:c r="E46" s="3"/>
      <x:c r="F46" s="3"/>
    </x:row>
    <x:row r="47" ht="22.5" customHeight="1">
      <x:c r="A47" s="3" t="s">
        <x:v>478</x:v>
      </x:c>
      <x:c r="B47" s="3"/>
      <x:c r="C47" s="3"/>
      <x:c r="D47" s="3"/>
      <x:c r="E47" s="3"/>
      <x:c r="F47" s="3"/>
    </x:row>
    <x:row r="48" ht="22.5" customHeight="1">
      <x:c r="A48" s="3" t="s">
        <x:v>479</x:v>
      </x:c>
      <x:c r="B48" s="3"/>
      <x:c r="C48" s="3"/>
      <x:c r="D48" s="3"/>
      <x:c r="E48" s="3"/>
      <x:c r="F48" s="3"/>
    </x:row>
    <x:row r="49" ht="22.5" customHeight="1">
      <x:c r="A49" s="3" t="s">
        <x:v>480</x:v>
      </x:c>
      <x:c r="B49" s="3"/>
      <x:c r="C49" s="3"/>
      <x:c r="D49" s="3"/>
      <x:c r="E49" s="3"/>
      <x:c r="F49" s="3"/>
    </x:row>
    <x:row r="50" ht="22.5" customHeight="1">
      <x:c r="A50" s="3" t="s">
        <x:v>481</x:v>
      </x:c>
      <x:c r="B50" s="3"/>
      <x:c r="C50" s="3"/>
      <x:c r="D50" s="3"/>
      <x:c r="E50" s="3"/>
      <x:c r="F50" s="3"/>
    </x:row>
    <x:row r="51" ht="22.5" customHeight="1">
      <x:c r="A51" s="3" t="s">
        <x:v>482</x:v>
      </x:c>
      <x:c r="B51" s="3"/>
      <x:c r="C51" s="3"/>
      <x:c r="D51" s="3"/>
      <x:c r="E51" s="3"/>
      <x:c r="F51" s="3"/>
    </x:row>
    <x:row r="52" ht="22.5" customHeight="1">
      <x:c r="A52" s="3" t="s">
        <x:v>483</x:v>
      </x:c>
      <x:c r="B52" s="3"/>
      <x:c r="C52" s="3"/>
      <x:c r="D52" s="3"/>
      <x:c r="E52" s="3"/>
      <x:c r="F52" s="3"/>
    </x:row>
    <x:row r="53" ht="22.5" customHeight="1">
      <x:c r="A53" s="3" t="s">
        <x:v>484</x:v>
      </x:c>
      <x:c r="B53" s="3"/>
      <x:c r="C53" s="3"/>
      <x:c r="D53" s="3"/>
      <x:c r="E53" s="3"/>
      <x:c r="F53" s="3"/>
    </x:row>
    <x:row r="54" ht="22.5" customHeight="1">
      <x:c r="A54" s="3" t="s">
        <x:v>485</x:v>
      </x:c>
      <x:c r="B54" s="3"/>
      <x:c r="C54" s="3"/>
      <x:c r="D54" s="3"/>
      <x:c r="E54" s="3"/>
      <x:c r="F54" s="3"/>
    </x:row>
    <x:row r="55" ht="22.5" customHeight="1">
      <x:c r="A55" s="3" t="s">
        <x:v>486</x:v>
      </x:c>
      <x:c r="B55" s="3"/>
      <x:c r="C55" s="3"/>
      <x:c r="D55" s="3"/>
      <x:c r="E55" s="3"/>
      <x:c r="F55" s="3"/>
    </x:row>
    <x:row r="56" ht="22.5" customHeight="1">
      <x:c r="A56" s="3" t="s">
        <x:v>487</x:v>
      </x:c>
      <x:c r="B56" s="3"/>
      <x:c r="C56" s="3"/>
      <x:c r="D56" s="3"/>
      <x:c r="E56" s="3"/>
      <x:c r="F56" s="3"/>
    </x:row>
    <x:row r="57" ht="22.5" customHeight="1">
      <x:c r="A57" s="3" t="s">
        <x:v>488</x:v>
      </x:c>
      <x:c r="B57" s="3"/>
      <x:c r="C57" s="3"/>
      <x:c r="D57" s="3"/>
      <x:c r="E57" s="3"/>
      <x:c r="F57" s="3"/>
    </x:row>
    <x:row r="58" ht="22.5" customHeight="1">
      <x:c r="A58" s="3" t="s">
        <x:v>489</x:v>
      </x:c>
      <x:c r="B58" s="3"/>
      <x:c r="C58" s="3"/>
      <x:c r="D58" s="3"/>
      <x:c r="E58" s="3"/>
      <x:c r="F58" s="3"/>
    </x:row>
    <x:row r="59" ht="22.5" customHeight="1">
      <x:c r="A59" s="3" t="s">
        <x:v>490</x:v>
      </x:c>
      <x:c r="B59" s="3"/>
      <x:c r="C59" s="3"/>
      <x:c r="D59" s="3"/>
      <x:c r="E59" s="3"/>
      <x:c r="F59" s="3"/>
    </x:row>
    <x:row r="60" ht="27" customHeight="1">
      <x:c r="A60" s="4" t="s">
        <x:v>421</x:v>
      </x:c>
      <x:c r="B60" s="4"/>
      <x:c r="C60" s="4"/>
      <x:c r="D60" s="4"/>
      <x:c r="E60" s="4"/>
      <x:c r="F60" s="4"/>
    </x:row>
    <x:row r="61" ht="22.5" customHeight="1">
      <x:c r="A61" s="10" t="s">
        <x:v>491</x:v>
      </x:c>
      <x:c r="B61" s="10"/>
      <x:c r="C61" s="10"/>
      <x:c r="D61" s="10"/>
      <x:c r="E61" s="10"/>
      <x:c r="F61" s="10"/>
    </x:row>
    <x:row r="62" ht="22.5" customHeight="1">
      <x:c r="A62" s="3" t="s">
        <x:v>492</x:v>
      </x:c>
      <x:c r="B62" s="3"/>
      <x:c r="C62" s="3"/>
      <x:c r="D62" s="3"/>
      <x:c r="E62" s="3"/>
      <x:c r="F62" s="3"/>
    </x:row>
    <x:row r="63" ht="22.5" customHeight="1">
      <x:c r="A63" s="3" t="s">
        <x:v>493</x:v>
      </x:c>
      <x:c r="B63" s="3"/>
      <x:c r="C63" s="3"/>
      <x:c r="D63" s="3"/>
      <x:c r="E63" s="3"/>
      <x:c r="F63" s="3"/>
    </x:row>
    <x:row r="64" ht="22.5" customHeight="1">
      <x:c r="A64" s="3" t="s">
        <x:v>494</x:v>
      </x:c>
      <x:c r="B64" s="3"/>
      <x:c r="C64" s="3"/>
      <x:c r="D64" s="3"/>
      <x:c r="E64" s="3"/>
      <x:c r="F64" s="3"/>
    </x:row>
    <x:row r="65" ht="22.5" customHeight="1">
      <x:c r="A65" s="3" t="s">
        <x:v>495</x:v>
      </x:c>
      <x:c r="B65" s="3"/>
      <x:c r="C65" s="3"/>
      <x:c r="D65" s="3"/>
      <x:c r="E65" s="3"/>
      <x:c r="F65" s="3"/>
    </x:row>
    <x:row r="66" ht="22.5" customHeight="1">
      <x:c r="A66" s="3" t="s">
        <x:v>496</x:v>
      </x:c>
      <x:c r="B66" s="3"/>
      <x:c r="C66" s="3"/>
      <x:c r="D66" s="3"/>
      <x:c r="E66" s="3"/>
      <x:c r="F66" s="3"/>
    </x:row>
    <x:row r="67" ht="22.5" customHeight="1">
      <x:c r="A67" s="3" t="s">
        <x:v>497</x:v>
      </x:c>
      <x:c r="B67" s="3"/>
      <x:c r="C67" s="3"/>
      <x:c r="D67" s="3"/>
      <x:c r="E67" s="3"/>
      <x:c r="F67" s="3"/>
    </x:row>
    <x:row r="68" ht="22.5" customHeight="1">
      <x:c r="A68" s="3" t="s">
        <x:v>498</x:v>
      </x:c>
      <x:c r="B68" s="3"/>
      <x:c r="C68" s="3"/>
      <x:c r="D68" s="3"/>
      <x:c r="E68" s="3"/>
      <x:c r="F68" s="3"/>
    </x:row>
    <x:row r="69" ht="27" customHeight="1">
      <x:c r="A69" s="4" t="s">
        <x:v>499</x:v>
      </x:c>
      <x:c r="B69" s="4"/>
      <x:c r="C69" s="4"/>
      <x:c r="D69" s="4"/>
      <x:c r="E69" s="4"/>
      <x:c r="F69" s="4"/>
    </x:row>
    <x:row r="70" ht="48.75" customHeight="1">
      <x:c r="A70" s="5" t="s">
        <x:v>452</x:v>
      </x:c>
      <x:c r="B70" s="5" t="s">
        <x:v>500</x:v>
      </x:c>
      <x:c r="C70" s="5" t="s">
        <x:v>501</x:v>
      </x:c>
      <x:c r="D70" s="2"/>
      <x:c r="E70" s="2"/>
      <x:c r="F70" s="2"/>
    </x:row>
    <x:row r="71" ht="87" customHeight="1">
      <x:c r="A71" s="15" t="s">
        <x:v>458</x:v>
      </x:c>
      <x:c r="B71" s="15" t="s">
        <x:v>502</x:v>
      </x:c>
      <x:c r="C71" s="15" t="s">
        <x:v>503</x:v>
      </x:c>
      <x:c r="D71" s="2"/>
      <x:c r="E71" s="2"/>
      <x:c r="F71" s="2"/>
    </x:row>
    <x:row r="72" ht="87" customHeight="1">
      <x:c r="A72" s="15" t="s">
        <x:v>504</x:v>
      </x:c>
      <x:c r="B72" s="15" t="s">
        <x:v>505</x:v>
      </x:c>
      <x:c r="C72" s="15" t="s">
        <x:v>506</x:v>
      </x:c>
      <x:c r="D72" s="2"/>
      <x:c r="E72" s="2"/>
      <x:c r="F72" s="2"/>
    </x:row>
    <x:row r="73" ht="87" customHeight="1">
      <x:c r="A73" s="15" t="s">
        <x:v>507</x:v>
      </x:c>
      <x:c r="B73" s="15" t="s">
        <x:v>508</x:v>
      </x:c>
      <x:c r="C73" s="15" t="s">
        <x:v>509</x:v>
      </x:c>
      <x:c r="D73" s="2"/>
      <x:c r="E73" s="2"/>
      <x:c r="F73" s="2"/>
    </x:row>
    <x:row r="74" ht="72" customHeight="1">
      <x:c r="A74" s="15" t="s">
        <x:v>510</x:v>
      </x:c>
      <x:c r="B74" s="15" t="s">
        <x:v>511</x:v>
      </x:c>
      <x:c r="C74" s="15" t="s">
        <x:v>512</x:v>
      </x:c>
      <x:c r="D74" s="2"/>
      <x:c r="E74" s="2"/>
      <x:c r="F74" s="2"/>
    </x:row>
    <x:row r="75" ht="21.75" customHeight="1">
      <x:c r="A75" s="2"/>
      <x:c r="B75" s="2"/>
      <x:c r="C75" s="2"/>
      <x:c r="D75" s="2"/>
      <x:c r="E75" s="2"/>
      <x:c r="F75" s="2"/>
    </x:row>
    <x:row r="76" ht="21.75" customHeight="1">
      <x:c r="A76" s="2"/>
      <x:c r="B76" s="2"/>
      <x:c r="C76" s="2"/>
      <x:c r="D76" s="2"/>
      <x:c r="E76" s="2"/>
      <x:c r="F76" s="2"/>
    </x:row>
    <x:row r="77" ht="22.5" customHeight="1">
      <x:c r="A77" s="3" t="s">
        <x:v>302</x:v>
      </x:c>
      <x:c r="B77" s="3"/>
      <x:c r="C77" s="3"/>
      <x:c r="D77" s="3"/>
      <x:c r="E77" s="3"/>
      <x:c r="F77" s="3"/>
    </x:row>
    <x:row r="78" ht="21.75" customHeight="1">
      <x:c r="A78" s="2"/>
      <x:c r="B78" s="2"/>
      <x:c r="C78" s="2"/>
      <x:c r="D78" s="2"/>
      <x:c r="E78" s="2"/>
      <x:c r="F78" s="2"/>
    </x:row>
    <x:row r="79" ht="21.75" customHeight="1">
      <x:c r="A79" s="6" t="s">
        <x:v>380</x:v>
      </x:c>
      <x:c r="B79" s="2"/>
      <x:c r="C79" s="2"/>
      <x:c r="D79" s="2"/>
      <x:c r="E79" s="2"/>
      <x:c r="F79" s="2"/>
    </x:row>
    <x:row r="80" ht="22.5" customHeight="1">
      <x:c r="A80" s="3" t="s">
        <x:v>381</x:v>
      </x:c>
      <x:c r="B80" s="3"/>
      <x:c r="C80" s="3"/>
      <x:c r="D80" s="3"/>
      <x:c r="E80" s="3"/>
      <x:c r="F80" s="3"/>
    </x:row>
    <x:row r="81" ht="21.75" customHeight="1"/>
    <x:row r="82" ht="21.75" customHeight="1"/>
    <x:row r="83" ht="21.75" customHeight="1"/>
    <x:row r="84" ht="21.75" customHeight="1"/>
    <x:row r="85" ht="21.75" customHeight="1"/>
    <x:row r="86" ht="21.75" customHeight="1"/>
    <x:row r="87" ht="21.75" customHeight="1"/>
    <x:row r="88" ht="21.75" customHeight="1"/>
    <x:row r="89" ht="21.75" customHeight="1"/>
    <x:row r="90" ht="21.75" customHeight="1"/>
    <x:row r="91" ht="21.75" customHeight="1"/>
    <x:row r="92" ht="21.75" customHeight="1"/>
    <x:row r="93" ht="21.75" customHeight="1"/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21.75" customHeight="1"/>
    <x:row r="277" ht="21.75" customHeight="1"/>
    <x:row r="278" ht="21.75" customHeight="1"/>
    <x:row r="279" ht="21.75" customHeight="1"/>
    <x:row r="280" ht="21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79" location="'С03_Подход'!A1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40" customWidth="1"/>
    <x:col min="2" max="2" width="45" customWidth="1"/>
    <x:col min="3" max="3" width="43" customWidth="1"/>
    <x:col min="4" max="4" width="45" customWidth="1"/>
    <x:col min="5" max="26" width="8.630000114440918" customWidth="1"/>
  </x:cols>
  <x:sheetData>
    <x:row r="1" ht="28.5" customHeight="1">
      <x:c r="A1" s="1" t="s">
        <x:v>513</x:v>
      </x:c>
      <x:c r="B1" s="1"/>
      <x:c r="C1" s="1"/>
      <x:c r="D1" s="1"/>
    </x:row>
    <x:row r="2" ht="21.75" customHeight="1">
      <x:c r="A2" s="2"/>
      <x:c r="B2" s="2"/>
      <x:c r="C2" s="2"/>
      <x:c r="D2" s="2"/>
    </x:row>
    <x:row r="3" ht="21.75" customHeight="1">
      <x:c r="A3" s="6" t="s">
        <x:v>58</x:v>
      </x:c>
      <x:c r="B3" s="2"/>
      <x:c r="C3" s="6" t="s">
        <x:v>236</x:v>
      </x:c>
      <x:c r="D3" s="2"/>
    </x:row>
    <x:row r="4" ht="21.75" customHeight="1">
      <x:c r="A4" s="2"/>
      <x:c r="B4" s="2"/>
      <x:c r="C4" s="2"/>
      <x:c r="D4" s="2"/>
    </x:row>
    <x:row r="5" ht="22.5" customHeight="1">
      <x:c r="A5" s="10" t="s">
        <x:v>514</x:v>
      </x:c>
      <x:c r="B5" s="10"/>
      <x:c r="C5" s="10"/>
      <x:c r="D5" s="10"/>
    </x:row>
    <x:row r="6" ht="22.5" customHeight="1">
      <x:c r="A6" s="3" t="s">
        <x:v>515</x:v>
      </x:c>
      <x:c r="B6" s="3"/>
      <x:c r="C6" s="3"/>
      <x:c r="D6" s="3"/>
    </x:row>
    <x:row r="7" ht="22.5" customHeight="1">
      <x:c r="A7" s="3" t="s">
        <x:v>516</x:v>
      </x:c>
      <x:c r="B7" s="3"/>
      <x:c r="C7" s="3"/>
      <x:c r="D7" s="3"/>
    </x:row>
    <x:row r="8" ht="22.5" customHeight="1">
      <x:c r="A8" s="3" t="s">
        <x:v>517</x:v>
      </x:c>
      <x:c r="B8" s="3"/>
      <x:c r="C8" s="3"/>
      <x:c r="D8" s="3"/>
    </x:row>
    <x:row r="9" ht="22.5" customHeight="1">
      <x:c r="A9" s="3" t="s">
        <x:v>518</x:v>
      </x:c>
      <x:c r="B9" s="3"/>
      <x:c r="C9" s="3"/>
      <x:c r="D9" s="3"/>
    </x:row>
    <x:row r="10" ht="22.5" customHeight="1">
      <x:c r="A10" s="3" t="s">
        <x:v>519</x:v>
      </x:c>
      <x:c r="B10" s="3"/>
      <x:c r="C10" s="3"/>
      <x:c r="D10" s="3"/>
    </x:row>
    <x:row r="11" ht="22.5" customHeight="1">
      <x:c r="A11" s="3" t="s">
        <x:v>520</x:v>
      </x:c>
      <x:c r="B11" s="3"/>
      <x:c r="C11" s="3"/>
      <x:c r="D11" s="3"/>
    </x:row>
    <x:row r="12" ht="22.5" customHeight="1">
      <x:c r="A12" s="3" t="s">
        <x:v>521</x:v>
      </x:c>
      <x:c r="B12" s="3"/>
      <x:c r="C12" s="3"/>
      <x:c r="D12" s="3"/>
    </x:row>
    <x:row r="13" ht="22.5" customHeight="1">
      <x:c r="A13" s="3" t="s">
        <x:v>245</x:v>
      </x:c>
      <x:c r="B13" s="3"/>
      <x:c r="C13" s="3"/>
      <x:c r="D13" s="3"/>
    </x:row>
    <x:row r="14" ht="27" customHeight="1">
      <x:c r="A14" s="4" t="s">
        <x:v>522</x:v>
      </x:c>
      <x:c r="B14" s="4"/>
      <x:c r="C14" s="4"/>
      <x:c r="D14" s="4"/>
    </x:row>
    <x:row r="15" ht="48.75" customHeight="1">
      <x:c r="A15" s="5" t="s">
        <x:v>523</x:v>
      </x:c>
      <x:c r="B15" s="5" t="s">
        <x:v>524</x:v>
      </x:c>
      <x:c r="C15" s="5" t="s">
        <x:v>525</x:v>
      </x:c>
      <x:c r="D15" s="2"/>
    </x:row>
    <x:row r="16" ht="79.5" customHeight="1">
      <x:c r="A16" s="26" t="s">
        <x:v>526</x:v>
      </x:c>
      <x:c r="B16" s="16"/>
      <x:c r="C16" s="16"/>
      <x:c r="D16" s="2"/>
    </x:row>
    <x:row r="17" ht="79.5" customHeight="1">
      <x:c r="A17" s="26" t="s">
        <x:v>396</x:v>
      </x:c>
      <x:c r="B17" s="16"/>
      <x:c r="C17" s="16"/>
      <x:c r="D17" s="2"/>
    </x:row>
    <x:row r="18" ht="79.5" customHeight="1">
      <x:c r="A18" s="26" t="s">
        <x:v>527</x:v>
      </x:c>
      <x:c r="B18" s="16"/>
      <x:c r="C18" s="16"/>
      <x:c r="D18" s="2"/>
    </x:row>
    <x:row r="19" ht="79.5" customHeight="1">
      <x:c r="A19" s="26" t="s">
        <x:v>528</x:v>
      </x:c>
      <x:c r="B19" s="16"/>
      <x:c r="C19" s="16"/>
      <x:c r="D19" s="2"/>
    </x:row>
    <x:row r="20" ht="21.75" customHeight="1">
      <x:c r="A20" s="2"/>
      <x:c r="B20" s="2"/>
      <x:c r="C20" s="2"/>
      <x:c r="D20" s="2"/>
    </x:row>
    <x:row r="21" ht="21.75" customHeight="1">
      <x:c r="A21" s="2"/>
      <x:c r="B21" s="2"/>
      <x:c r="C21" s="2"/>
      <x:c r="D21" s="2"/>
    </x:row>
    <x:row r="22" ht="27" customHeight="1">
      <x:c r="A22" s="4" t="s">
        <x:v>529</x:v>
      </x:c>
      <x:c r="B22" s="4"/>
      <x:c r="C22" s="4"/>
      <x:c r="D22" s="4"/>
    </x:row>
    <x:row r="23" ht="48.75" customHeight="1">
      <x:c r="A23" s="5" t="s">
        <x:v>530</x:v>
      </x:c>
      <x:c r="B23" s="5" t="s">
        <x:v>531</x:v>
      </x:c>
      <x:c r="C23" s="5" t="s">
        <x:v>532</x:v>
      </x:c>
      <x:c r="D23" s="5" t="s">
        <x:v>533</x:v>
      </x:c>
    </x:row>
    <x:row r="24" ht="79.5" customHeight="1">
      <x:c r="A24" s="16"/>
      <x:c r="B24" s="16"/>
      <x:c r="C24" s="16"/>
      <x:c r="D24" s="16"/>
    </x:row>
    <x:row r="25" ht="79.5" customHeight="1">
      <x:c r="A25" s="16"/>
      <x:c r="B25" s="16"/>
      <x:c r="C25" s="16"/>
      <x:c r="D25" s="16"/>
    </x:row>
    <x:row r="26" ht="79.5" customHeight="1">
      <x:c r="A26" s="16"/>
      <x:c r="B26" s="16"/>
      <x:c r="C26" s="16"/>
      <x:c r="D26" s="16"/>
    </x:row>
    <x:row r="27" ht="79.5" customHeight="1">
      <x:c r="A27" s="16"/>
      <x:c r="B27" s="16"/>
      <x:c r="C27" s="16"/>
      <x:c r="D27" s="16"/>
    </x:row>
    <x:row r="28" ht="79.5" customHeight="1">
      <x:c r="A28" s="16"/>
      <x:c r="B28" s="16"/>
      <x:c r="C28" s="16"/>
      <x:c r="D28" s="16"/>
    </x:row>
    <x:row r="29" ht="79.5" customHeight="1">
      <x:c r="A29" s="16"/>
      <x:c r="B29" s="16"/>
      <x:c r="C29" s="16"/>
      <x:c r="D29" s="16"/>
    </x:row>
    <x:row r="30" ht="79.5" customHeight="1">
      <x:c r="A30" s="16"/>
      <x:c r="B30" s="16"/>
      <x:c r="C30" s="16"/>
      <x:c r="D30" s="16"/>
    </x:row>
    <x:row r="31" ht="79.5" customHeight="1">
      <x:c r="A31" s="16"/>
      <x:c r="B31" s="16"/>
      <x:c r="C31" s="16"/>
      <x:c r="D31" s="16"/>
    </x:row>
    <x:row r="32" ht="79.5" customHeight="1">
      <x:c r="A32" s="16"/>
      <x:c r="B32" s="16"/>
      <x:c r="C32" s="16"/>
      <x:c r="D32" s="16"/>
    </x:row>
    <x:row r="33" ht="79.5" customHeight="1">
      <x:c r="A33" s="16"/>
      <x:c r="B33" s="16"/>
      <x:c r="C33" s="16"/>
      <x:c r="D33" s="16"/>
    </x:row>
    <x:row r="34" ht="21.75" customHeight="1">
      <x:c r="A34" s="2"/>
      <x:c r="B34" s="2"/>
      <x:c r="C34" s="2"/>
      <x:c r="D34" s="2"/>
    </x:row>
    <x:row r="35" ht="21.75" customHeight="1">
      <x:c r="A35" s="2"/>
      <x:c r="B35" s="2"/>
      <x:c r="C35" s="2"/>
      <x:c r="D35" s="2"/>
    </x:row>
    <x:row r="36" ht="27" customHeight="1">
      <x:c r="A36" s="4" t="s">
        <x:v>534</x:v>
      </x:c>
      <x:c r="B36" s="4"/>
      <x:c r="C36" s="4"/>
      <x:c r="D36" s="4"/>
    </x:row>
    <x:row r="37" ht="48.75" customHeight="1">
      <x:c r="A37" s="5" t="s">
        <x:v>535</x:v>
      </x:c>
      <x:c r="B37" s="5" t="s">
        <x:v>536</x:v>
      </x:c>
      <x:c r="C37" s="5" t="s">
        <x:v>537</x:v>
      </x:c>
      <x:c r="D37" s="5" t="s">
        <x:v>538</x:v>
      </x:c>
    </x:row>
    <x:row r="38" ht="79.5" customHeight="1">
      <x:c r="A38" s="26" t="s">
        <x:v>539</x:v>
      </x:c>
      <x:c r="B38" s="16"/>
      <x:c r="C38" s="16"/>
      <x:c r="D38" s="16"/>
    </x:row>
    <x:row r="39" ht="79.5" customHeight="1">
      <x:c r="A39" s="26" t="s">
        <x:v>540</x:v>
      </x:c>
      <x:c r="B39" s="16"/>
      <x:c r="C39" s="16"/>
      <x:c r="D39" s="16"/>
    </x:row>
    <x:row r="40" ht="79.5" customHeight="1">
      <x:c r="A40" s="26" t="s">
        <x:v>541</x:v>
      </x:c>
      <x:c r="B40" s="16"/>
      <x:c r="C40" s="16"/>
      <x:c r="D40" s="16"/>
    </x:row>
    <x:row r="41" ht="79.5" customHeight="1">
      <x:c r="A41" s="26" t="s">
        <x:v>542</x:v>
      </x:c>
      <x:c r="B41" s="16"/>
      <x:c r="C41" s="16"/>
      <x:c r="D41" s="16"/>
    </x:row>
    <x:row r="42" ht="21.75" customHeight="1">
      <x:c r="A42" s="2"/>
      <x:c r="B42" s="2"/>
      <x:c r="C42" s="2"/>
      <x:c r="D42" s="2"/>
    </x:row>
    <x:row r="43" ht="21.75" customHeight="1">
      <x:c r="A43" s="2"/>
      <x:c r="B43" s="2"/>
      <x:c r="C43" s="2"/>
      <x:c r="D43" s="2"/>
    </x:row>
    <x:row r="44" ht="27" customHeight="1">
      <x:c r="A44" s="4" t="s">
        <x:v>543</x:v>
      </x:c>
      <x:c r="B44" s="4"/>
      <x:c r="C44" s="4"/>
      <x:c r="D44" s="4"/>
    </x:row>
    <x:row r="45" ht="48.75" customHeight="1">
      <x:c r="A45" s="5" t="s">
        <x:v>544</x:v>
      </x:c>
      <x:c r="B45" s="5" t="s">
        <x:v>545</x:v>
      </x:c>
      <x:c r="C45" s="5" t="s">
        <x:v>546</x:v>
      </x:c>
      <x:c r="D45" s="2"/>
    </x:row>
    <x:row r="46" ht="79.5" customHeight="1">
      <x:c r="A46" s="26" t="s">
        <x:v>547</x:v>
      </x:c>
      <x:c r="B46" s="16"/>
      <x:c r="C46" s="16"/>
      <x:c r="D46" s="2"/>
    </x:row>
    <x:row r="47" ht="79.5" customHeight="1">
      <x:c r="A47" s="26" t="s">
        <x:v>548</x:v>
      </x:c>
      <x:c r="B47" s="16"/>
      <x:c r="C47" s="16"/>
      <x:c r="D47" s="2"/>
    </x:row>
    <x:row r="48" ht="21.75" customHeight="1">
      <x:c r="A48" s="2"/>
      <x:c r="B48" s="2"/>
      <x:c r="C48" s="2"/>
      <x:c r="D48" s="2"/>
    </x:row>
    <x:row r="49" ht="21.75" customHeight="1">
      <x:c r="A49" s="2"/>
      <x:c r="B49" s="2"/>
      <x:c r="C49" s="2"/>
      <x:c r="D49" s="2"/>
    </x:row>
    <x:row r="50" ht="27" customHeight="1">
      <x:c r="A50" s="4" t="s">
        <x:v>278</x:v>
      </x:c>
      <x:c r="B50" s="4"/>
      <x:c r="C50" s="4"/>
      <x:c r="D50" s="4"/>
    </x:row>
    <x:row r="51" ht="22.5" customHeight="1">
      <x:c r="A51" s="3" t="s">
        <x:v>549</x:v>
      </x:c>
      <x:c r="B51" s="3"/>
      <x:c r="C51" s="3"/>
      <x:c r="D51" s="3"/>
    </x:row>
    <x:row r="52" ht="22.5" customHeight="1">
      <x:c r="A52" s="3" t="s">
        <x:v>550</x:v>
      </x:c>
      <x:c r="B52" s="3"/>
      <x:c r="C52" s="3"/>
      <x:c r="D52" s="3"/>
    </x:row>
    <x:row r="53" ht="22.5" customHeight="1">
      <x:c r="A53" s="3" t="s">
        <x:v>551</x:v>
      </x:c>
      <x:c r="B53" s="3"/>
      <x:c r="C53" s="3"/>
      <x:c r="D53" s="3"/>
    </x:row>
    <x:row r="54" ht="22.5" customHeight="1">
      <x:c r="A54" s="3" t="s">
        <x:v>552</x:v>
      </x:c>
      <x:c r="B54" s="3"/>
      <x:c r="C54" s="3"/>
      <x:c r="D54" s="3"/>
    </x:row>
    <x:row r="55" ht="22.5" customHeight="1">
      <x:c r="A55" s="3" t="s">
        <x:v>553</x:v>
      </x:c>
      <x:c r="B55" s="3"/>
      <x:c r="C55" s="3"/>
      <x:c r="D55" s="3"/>
    </x:row>
    <x:row r="56" ht="22.5" customHeight="1">
      <x:c r="A56" s="3" t="s">
        <x:v>554</x:v>
      </x:c>
      <x:c r="B56" s="3"/>
      <x:c r="C56" s="3"/>
      <x:c r="D56" s="3"/>
    </x:row>
    <x:row r="57" ht="22.5" customHeight="1">
      <x:c r="A57" s="3" t="s">
        <x:v>555</x:v>
      </x:c>
      <x:c r="B57" s="3"/>
      <x:c r="C57" s="3"/>
      <x:c r="D57" s="3"/>
    </x:row>
    <x:row r="58" ht="22.5" customHeight="1">
      <x:c r="A58" s="3" t="s">
        <x:v>556</x:v>
      </x:c>
      <x:c r="B58" s="3"/>
      <x:c r="C58" s="3"/>
      <x:c r="D58" s="3"/>
    </x:row>
    <x:row r="59" ht="22.5" customHeight="1">
      <x:c r="A59" s="3" t="s">
        <x:v>557</x:v>
      </x:c>
      <x:c r="B59" s="3"/>
      <x:c r="C59" s="3"/>
      <x:c r="D59" s="3"/>
    </x:row>
    <x:row r="60" ht="22.5" customHeight="1">
      <x:c r="A60" s="3" t="s">
        <x:v>558</x:v>
      </x:c>
      <x:c r="B60" s="3"/>
      <x:c r="C60" s="3"/>
      <x:c r="D60" s="3"/>
    </x:row>
    <x:row r="61" ht="22.5" customHeight="1">
      <x:c r="A61" s="3" t="s">
        <x:v>559</x:v>
      </x:c>
      <x:c r="B61" s="3"/>
      <x:c r="C61" s="3"/>
      <x:c r="D61" s="3"/>
    </x:row>
    <x:row r="62" ht="22.5" customHeight="1">
      <x:c r="A62" s="3" t="s">
        <x:v>560</x:v>
      </x:c>
      <x:c r="B62" s="3"/>
      <x:c r="C62" s="3"/>
      <x:c r="D62" s="3"/>
    </x:row>
    <x:row r="63" ht="27" customHeight="1">
      <x:c r="A63" s="4" t="s">
        <x:v>421</x:v>
      </x:c>
      <x:c r="B63" s="4"/>
      <x:c r="C63" s="4"/>
      <x:c r="D63" s="4"/>
    </x:row>
    <x:row r="64" ht="22.5" customHeight="1">
      <x:c r="A64" s="10" t="s">
        <x:v>561</x:v>
      </x:c>
      <x:c r="B64" s="10"/>
      <x:c r="C64" s="10"/>
      <x:c r="D64" s="10"/>
    </x:row>
    <x:row r="65" ht="22.5" customHeight="1">
      <x:c r="A65" s="3" t="s">
        <x:v>562</x:v>
      </x:c>
      <x:c r="B65" s="3"/>
      <x:c r="C65" s="3"/>
      <x:c r="D65" s="3"/>
    </x:row>
    <x:row r="66" ht="22.5" customHeight="1">
      <x:c r="A66" s="3" t="s">
        <x:v>563</x:v>
      </x:c>
      <x:c r="B66" s="3"/>
      <x:c r="C66" s="3"/>
      <x:c r="D66" s="3"/>
    </x:row>
    <x:row r="67" ht="22.5" customHeight="1">
      <x:c r="A67" s="3" t="s">
        <x:v>564</x:v>
      </x:c>
      <x:c r="B67" s="3"/>
      <x:c r="C67" s="3"/>
      <x:c r="D67" s="3"/>
    </x:row>
    <x:row r="68" ht="22.5" customHeight="1">
      <x:c r="A68" s="3" t="s">
        <x:v>565</x:v>
      </x:c>
      <x:c r="B68" s="3"/>
      <x:c r="C68" s="3"/>
      <x:c r="D68" s="3"/>
    </x:row>
    <x:row r="69" ht="22.5" customHeight="1">
      <x:c r="A69" s="3" t="s">
        <x:v>566</x:v>
      </x:c>
      <x:c r="B69" s="3"/>
      <x:c r="C69" s="3"/>
      <x:c r="D69" s="3"/>
    </x:row>
    <x:row r="70" ht="22.5" customHeight="1">
      <x:c r="A70" s="3" t="s">
        <x:v>567</x:v>
      </x:c>
      <x:c r="B70" s="3"/>
      <x:c r="C70" s="3"/>
      <x:c r="D70" s="3"/>
    </x:row>
    <x:row r="71" ht="27" customHeight="1">
      <x:c r="A71" s="4" t="s">
        <x:v>568</x:v>
      </x:c>
      <x:c r="B71" s="4"/>
      <x:c r="C71" s="4"/>
      <x:c r="D71" s="4"/>
    </x:row>
    <x:row r="72" ht="48.75" customHeight="1">
      <x:c r="A72" s="5" t="s">
        <x:v>569</x:v>
      </x:c>
      <x:c r="B72" s="5" t="s">
        <x:v>570</x:v>
      </x:c>
      <x:c r="C72" s="5" t="s">
        <x:v>571</x:v>
      </x:c>
      <x:c r="D72" s="5" t="s">
        <x:v>572</x:v>
      </x:c>
    </x:row>
    <x:row r="73" ht="72" customHeight="1">
      <x:c r="A73" s="15" t="s">
        <x:v>573</x:v>
      </x:c>
      <x:c r="B73" s="15" t="s">
        <x:v>574</x:v>
      </x:c>
      <x:c r="C73" s="15" t="s">
        <x:v>575</x:v>
      </x:c>
      <x:c r="D73" s="15" t="s">
        <x:v>576</x:v>
      </x:c>
    </x:row>
    <x:row r="74" ht="87" customHeight="1">
      <x:c r="A74" s="15" t="s">
        <x:v>577</x:v>
      </x:c>
      <x:c r="B74" s="15" t="s">
        <x:v>578</x:v>
      </x:c>
      <x:c r="C74" s="15" t="s">
        <x:v>579</x:v>
      </x:c>
      <x:c r="D74" s="15" t="s">
        <x:v>580</x:v>
      </x:c>
    </x:row>
    <x:row r="75" ht="72" customHeight="1">
      <x:c r="A75" s="15" t="s">
        <x:v>581</x:v>
      </x:c>
      <x:c r="B75" s="15" t="s">
        <x:v>582</x:v>
      </x:c>
      <x:c r="C75" s="15" t="s">
        <x:v>583</x:v>
      </x:c>
      <x:c r="D75" s="15" t="s">
        <x:v>580</x:v>
      </x:c>
    </x:row>
    <x:row r="76" ht="72" customHeight="1">
      <x:c r="A76" s="15" t="s">
        <x:v>584</x:v>
      </x:c>
      <x:c r="B76" s="15" t="s">
        <x:v>585</x:v>
      </x:c>
      <x:c r="C76" s="15" t="s">
        <x:v>586</x:v>
      </x:c>
      <x:c r="D76" s="15" t="s">
        <x:v>580</x:v>
      </x:c>
    </x:row>
    <x:row r="77" ht="21.75" customHeight="1">
      <x:c r="A77" s="2"/>
      <x:c r="B77" s="2"/>
      <x:c r="C77" s="2"/>
      <x:c r="D77" s="2"/>
    </x:row>
    <x:row r="78" ht="21.75" customHeight="1">
      <x:c r="A78" s="2"/>
      <x:c r="B78" s="2"/>
      <x:c r="C78" s="2"/>
      <x:c r="D78" s="2"/>
    </x:row>
    <x:row r="79" ht="27" customHeight="1">
      <x:c r="A79" s="4" t="s">
        <x:v>587</x:v>
      </x:c>
      <x:c r="B79" s="4"/>
      <x:c r="C79" s="4"/>
      <x:c r="D79" s="4"/>
    </x:row>
    <x:row r="80" ht="48.75" customHeight="1">
      <x:c r="A80" s="5" t="s">
        <x:v>530</x:v>
      </x:c>
      <x:c r="B80" s="5" t="s">
        <x:v>588</x:v>
      </x:c>
      <x:c r="C80" s="5" t="s">
        <x:v>273</x:v>
      </x:c>
      <x:c r="D80" s="2"/>
    </x:row>
    <x:row r="81" ht="72" customHeight="1">
      <x:c r="A81" s="15" t="s">
        <x:v>589</x:v>
      </x:c>
      <x:c r="B81" s="15" t="s">
        <x:v>590</x:v>
      </x:c>
      <x:c r="C81" s="15" t="s">
        <x:v>591</x:v>
      </x:c>
      <x:c r="D81" s="2"/>
    </x:row>
    <x:row r="82" ht="72" customHeight="1">
      <x:c r="A82" s="15" t="s">
        <x:v>592</x:v>
      </x:c>
      <x:c r="B82" s="15" t="s">
        <x:v>593</x:v>
      </x:c>
      <x:c r="C82" s="15" t="s">
        <x:v>594</x:v>
      </x:c>
      <x:c r="D82" s="2"/>
    </x:row>
    <x:row r="83" ht="21.75" customHeight="1">
      <x:c r="A83" s="2"/>
      <x:c r="B83" s="2"/>
      <x:c r="C83" s="2"/>
      <x:c r="D83" s="2"/>
    </x:row>
    <x:row r="84" ht="21.75" customHeight="1">
      <x:c r="A84" s="2"/>
      <x:c r="B84" s="2"/>
      <x:c r="C84" s="2"/>
      <x:c r="D84" s="2"/>
    </x:row>
    <x:row r="85" ht="22.5" customHeight="1">
      <x:c r="A85" s="3" t="s">
        <x:v>302</x:v>
      </x:c>
      <x:c r="B85" s="3"/>
      <x:c r="C85" s="3"/>
      <x:c r="D85" s="3"/>
    </x:row>
    <x:row r="86" ht="21.75" customHeight="1">
      <x:c r="A86" s="2"/>
      <x:c r="B86" s="2"/>
      <x:c r="C86" s="2"/>
      <x:c r="D86" s="2"/>
    </x:row>
    <x:row r="87" ht="21.75" customHeight="1">
      <x:c r="A87" s="6" t="s">
        <x:v>380</x:v>
      </x:c>
      <x:c r="B87" s="2"/>
      <x:c r="C87" s="2"/>
      <x:c r="D87" s="2"/>
    </x:row>
    <x:row r="88" ht="22.5" customHeight="1">
      <x:c r="A88" s="3" t="s">
        <x:v>381</x:v>
      </x:c>
      <x:c r="B88" s="3"/>
      <x:c r="C88" s="3"/>
      <x:c r="D88" s="3"/>
    </x:row>
    <x:row r="89" ht="21.75" customHeight="1"/>
    <x:row r="90" ht="21.75" customHeight="1"/>
    <x:row r="91" ht="21.75" customHeight="1"/>
    <x:row r="92" ht="21.75" customHeight="1"/>
    <x:row r="93" ht="21.75" customHeight="1"/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21.75" customHeight="1"/>
    <x:row r="277" ht="21.75" customHeight="1"/>
    <x:row r="278" ht="21.75" customHeight="1"/>
    <x:row r="279" ht="21.75" customHeight="1"/>
    <x:row r="280" ht="21.75" customHeight="1"/>
    <x:row r="281" ht="21.75" customHeight="1"/>
    <x:row r="282" ht="21.75" customHeight="1"/>
    <x:row r="283" ht="21.75" customHeight="1"/>
    <x:row r="284" ht="21.75" customHeight="1"/>
    <x:row r="285" ht="21.75" customHeight="1"/>
    <x:row r="286" ht="21.75" customHeight="1"/>
    <x:row r="287" ht="21.75" customHeight="1"/>
    <x:row r="288" ht="21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87" location="'С04_Обоснование'!A1"/>
  </x:hyperlink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0" customWidth="1"/>
    <x:col min="2" max="2" width="18" customWidth="1"/>
    <x:col min="3" max="3" width="23" customWidth="1"/>
    <x:col min="4" max="9" width="12" customWidth="1"/>
    <x:col min="10" max="26" width="8.630000114440918" customWidth="1"/>
  </x:cols>
  <x:sheetData>
    <x:row r="1" ht="28.5" customHeight="1">
      <x:c r="A1" s="1" t="s">
        <x:v>595</x:v>
      </x:c>
      <x:c r="B1" s="1"/>
      <x:c r="C1" s="1"/>
      <x:c r="D1" s="1"/>
      <x:c r="E1" s="1"/>
      <x:c r="F1" s="1"/>
      <x:c r="G1" s="1"/>
      <x:c r="H1" s="1"/>
      <x:c r="I1" s="1"/>
    </x:row>
    <x:row r="2" ht="21.75" customHeight="1">
      <x:c r="A2" s="2"/>
      <x:c r="B2" s="2"/>
      <x:c r="C2" s="2"/>
      <x:c r="D2" s="2"/>
      <x:c r="E2" s="2"/>
      <x:c r="F2" s="2"/>
      <x:c r="G2" s="2"/>
      <x:c r="H2" s="2"/>
      <x:c r="I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  <x:c r="F3" s="2"/>
      <x:c r="G3" s="2"/>
      <x:c r="H3" s="2"/>
      <x:c r="I3" s="2"/>
    </x:row>
    <x:row r="4" ht="21.7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2.5" customHeight="1">
      <x:c r="A5" s="10" t="s">
        <x:v>596</x:v>
      </x:c>
      <x:c r="B5" s="10"/>
      <x:c r="C5" s="10"/>
      <x:c r="D5" s="10"/>
      <x:c r="E5" s="10"/>
      <x:c r="F5" s="10"/>
      <x:c r="G5" s="10"/>
      <x:c r="H5" s="10"/>
      <x:c r="I5" s="10"/>
    </x:row>
    <x:row r="6" ht="22.5" customHeight="1">
      <x:c r="A6" s="3" t="s">
        <x:v>597</x:v>
      </x:c>
      <x:c r="B6" s="3"/>
      <x:c r="C6" s="3"/>
      <x:c r="D6" s="3"/>
      <x:c r="E6" s="3"/>
      <x:c r="F6" s="3"/>
      <x:c r="G6" s="3"/>
      <x:c r="H6" s="3"/>
      <x:c r="I6" s="3"/>
    </x:row>
    <x:row r="7" ht="22.5" customHeight="1">
      <x:c r="A7" s="3" t="s">
        <x:v>598</x:v>
      </x:c>
      <x:c r="B7" s="3"/>
      <x:c r="C7" s="3"/>
      <x:c r="D7" s="3"/>
      <x:c r="E7" s="3"/>
      <x:c r="F7" s="3"/>
      <x:c r="G7" s="3"/>
      <x:c r="H7" s="3"/>
      <x:c r="I7" s="3"/>
    </x:row>
    <x:row r="8" ht="22.5" customHeight="1">
      <x:c r="A8" s="3" t="s">
        <x:v>599</x:v>
      </x:c>
      <x:c r="B8" s="3"/>
      <x:c r="C8" s="3"/>
      <x:c r="D8" s="3"/>
      <x:c r="E8" s="3"/>
      <x:c r="F8" s="3"/>
      <x:c r="G8" s="3"/>
      <x:c r="H8" s="3"/>
      <x:c r="I8" s="3"/>
    </x:row>
    <x:row r="9" ht="22.5" customHeight="1">
      <x:c r="A9" s="3" t="s">
        <x:v>600</x:v>
      </x:c>
      <x:c r="B9" s="3"/>
      <x:c r="C9" s="3"/>
      <x:c r="D9" s="3"/>
      <x:c r="E9" s="3"/>
      <x:c r="F9" s="3"/>
      <x:c r="G9" s="3"/>
      <x:c r="H9" s="3"/>
      <x:c r="I9" s="3"/>
    </x:row>
    <x:row r="10" ht="22.5" customHeight="1">
      <x:c r="A10" s="3" t="s">
        <x:v>601</x:v>
      </x:c>
      <x:c r="B10" s="3"/>
      <x:c r="C10" s="3"/>
      <x:c r="D10" s="3"/>
      <x:c r="E10" s="3"/>
      <x:c r="F10" s="3"/>
      <x:c r="G10" s="3"/>
      <x:c r="H10" s="3"/>
      <x:c r="I10" s="3"/>
    </x:row>
    <x:row r="11" ht="22.5" customHeight="1">
      <x:c r="A11" s="3" t="s">
        <x:v>602</x:v>
      </x:c>
      <x:c r="B11" s="3"/>
      <x:c r="C11" s="3"/>
      <x:c r="D11" s="3"/>
      <x:c r="E11" s="3"/>
      <x:c r="F11" s="3"/>
      <x:c r="G11" s="3"/>
      <x:c r="H11" s="3"/>
      <x:c r="I11" s="3"/>
    </x:row>
    <x:row r="12" ht="22.5" customHeight="1">
      <x:c r="A12" s="3" t="s">
        <x:v>603</x:v>
      </x:c>
      <x:c r="B12" s="3"/>
      <x:c r="C12" s="3"/>
      <x:c r="D12" s="3"/>
      <x:c r="E12" s="3"/>
      <x:c r="F12" s="3"/>
      <x:c r="G12" s="3"/>
      <x:c r="H12" s="3"/>
      <x:c r="I12" s="3"/>
    </x:row>
    <x:row r="13" ht="22.5" customHeight="1">
      <x:c r="A13" s="3" t="s">
        <x:v>604</x:v>
      </x:c>
      <x:c r="B13" s="3"/>
      <x:c r="C13" s="3"/>
      <x:c r="D13" s="3"/>
      <x:c r="E13" s="3"/>
      <x:c r="F13" s="3"/>
      <x:c r="G13" s="3"/>
      <x:c r="H13" s="3"/>
      <x:c r="I13" s="3"/>
    </x:row>
    <x:row r="14" ht="22.5" customHeight="1">
      <x:c r="A14" s="3" t="s">
        <x:v>605</x:v>
      </x:c>
      <x:c r="B14" s="3"/>
      <x:c r="C14" s="3"/>
      <x:c r="D14" s="3"/>
      <x:c r="E14" s="3"/>
      <x:c r="F14" s="3"/>
      <x:c r="G14" s="3"/>
      <x:c r="H14" s="3"/>
      <x:c r="I14" s="3"/>
    </x:row>
    <x:row r="15" ht="22.5" customHeight="1">
      <x:c r="A15" s="3" t="s">
        <x:v>606</x:v>
      </x:c>
      <x:c r="B15" s="3"/>
      <x:c r="C15" s="3"/>
      <x:c r="D15" s="3"/>
      <x:c r="E15" s="3"/>
      <x:c r="F15" s="3"/>
      <x:c r="G15" s="3"/>
      <x:c r="H15" s="3"/>
      <x:c r="I15" s="3"/>
    </x:row>
    <x:row r="16" ht="22.5" customHeight="1">
      <x:c r="A16" s="3" t="s">
        <x:v>607</x:v>
      </x:c>
      <x:c r="B16" s="3"/>
      <x:c r="C16" s="3"/>
      <x:c r="D16" s="3"/>
      <x:c r="E16" s="3"/>
      <x:c r="F16" s="3"/>
      <x:c r="G16" s="3"/>
      <x:c r="H16" s="3"/>
      <x:c r="I16" s="3"/>
    </x:row>
    <x:row r="17" ht="22.5" customHeight="1">
      <x:c r="A17" s="3" t="s">
        <x:v>608</x:v>
      </x:c>
      <x:c r="B17" s="3"/>
      <x:c r="C17" s="3"/>
      <x:c r="D17" s="3"/>
      <x:c r="E17" s="3"/>
      <x:c r="F17" s="3"/>
      <x:c r="G17" s="3"/>
      <x:c r="H17" s="3"/>
      <x:c r="I17" s="3"/>
    </x:row>
    <x:row r="18" ht="22.5" customHeight="1">
      <x:c r="A18" s="3" t="s">
        <x:v>245</x:v>
      </x:c>
      <x:c r="B18" s="3"/>
      <x:c r="C18" s="3"/>
      <x:c r="D18" s="3"/>
      <x:c r="E18" s="3"/>
      <x:c r="F18" s="3"/>
      <x:c r="G18" s="3"/>
      <x:c r="H18" s="3"/>
      <x:c r="I18" s="3"/>
    </x:row>
    <x:row r="19" ht="27" customHeight="1">
      <x:c r="A19" s="4" t="s">
        <x:v>609</x:v>
      </x:c>
      <x:c r="B19" s="4"/>
      <x:c r="C19" s="4"/>
      <x:c r="D19" s="4"/>
      <x:c r="E19" s="4"/>
      <x:c r="F19" s="4"/>
      <x:c r="G19" s="4"/>
      <x:c r="H19" s="4"/>
      <x:c r="I19" s="4"/>
    </x:row>
    <x:row r="20" ht="48.75" customHeight="1">
      <x:c r="A20" s="5" t="s">
        <x:v>537</x:v>
      </x:c>
      <x:c r="B20" s="5" t="s">
        <x:v>610</x:v>
      </x:c>
      <x:c r="C20" s="5" t="s">
        <x:v>611</x:v>
      </x:c>
      <x:c r="D20" s="5" t="s">
        <x:v>612</x:v>
      </x:c>
      <x:c r="E20" s="5" t="s">
        <x:v>613</x:v>
      </x:c>
      <x:c r="F20" s="5" t="s">
        <x:v>614</x:v>
      </x:c>
      <x:c r="G20" s="5" t="s">
        <x:v>615</x:v>
      </x:c>
      <x:c r="H20" s="5" t="s">
        <x:v>616</x:v>
      </x:c>
      <x:c r="I20" s="5" t="s">
        <x:v>617</x:v>
      </x:c>
    </x:row>
    <x:row r="21" ht="79.5" customHeight="1">
      <x:c r="A21" s="7" t="s">
        <x:v>618</x:v>
      </x:c>
      <x:c r="B21" s="27">
        <x:v>3.0</x:v>
      </x:c>
      <x:c r="C21" s="28" t="s">
        <x:v>619</x:v>
      </x:c>
      <x:c r="D21" s="29" t="n">
        <x:f>IF(COUNT(B21:B24)&lt;4,"",0)</x:f>
        <x:v>0</x:v>
      </x:c>
      <x:c r="E21" s="30" t="n">
        <x:f>IF(COUNT(B21:B24)&lt;4,"",D21+B21)</x:f>
        <x:v>3</x:v>
      </x:c>
      <x:c r="F21" s="30" t="n">
        <x:f>IF(COUNT(B21:B24)&lt;4,"",G21-B21)</x:f>
        <x:v>0</x:v>
      </x:c>
      <x:c r="G21" s="30" t="n">
        <x:f>IF(COUNT(B21:B24)&lt;4,"",MIN(F22,F23))</x:f>
        <x:v>3</x:v>
      </x:c>
      <x:c r="H21" s="30" t="n">
        <x:f>IF(COUNT(B21:B24)&lt;4,"",F21-D21)</x:f>
        <x:v>0</x:v>
      </x:c>
      <x:c r="I21" s="30" t="n">
        <x:f>IF(COUNT(B21:B24)&lt;4,"",MIN(D22,D23)-E21)</x:f>
        <x:v>0</x:v>
      </x:c>
    </x:row>
    <x:row r="22" ht="79.5" customHeight="1">
      <x:c r="A22" s="7" t="s">
        <x:v>620</x:v>
      </x:c>
      <x:c r="B22" s="27">
        <x:v>5.0</x:v>
      </x:c>
      <x:c r="C22" s="28" t="s">
        <x:v>618</x:v>
      </x:c>
      <x:c r="D22" s="30" t="n">
        <x:f>IF(COUNT(B21:B24)&lt;4,"",E21)</x:f>
        <x:v>3</x:v>
      </x:c>
      <x:c r="E22" s="30" t="n">
        <x:f>IF(COUNT(B21:B24)&lt;4,"",D22+B22)</x:f>
        <x:v>8</x:v>
      </x:c>
      <x:c r="F22" s="30" t="n">
        <x:f>IF(COUNT(B21:B24)&lt;4,"",G22-B22)</x:f>
        <x:v>6</x:v>
      </x:c>
      <x:c r="G22" s="30" t="n">
        <x:f>IF(COUNT(B21:B24)&lt;4,"",F24)</x:f>
        <x:v>11</x:v>
      </x:c>
      <x:c r="H22" s="30" t="n">
        <x:f>IF(COUNT(B21:B24)&lt;4,"",F22-D22)</x:f>
        <x:v>3</x:v>
      </x:c>
      <x:c r="I22" s="30" t="n">
        <x:f>IF(COUNT(B21:B24)&lt;4,"",D24-E22)</x:f>
        <x:v>3</x:v>
      </x:c>
    </x:row>
    <x:row r="23" ht="79.5" customHeight="1">
      <x:c r="A23" s="7" t="s">
        <x:v>621</x:v>
      </x:c>
      <x:c r="B23" s="9">
        <x:v>8.0</x:v>
      </x:c>
      <x:c r="C23" s="28" t="s">
        <x:v>618</x:v>
      </x:c>
      <x:c r="D23" s="30" t="n">
        <x:f>IF(COUNT(B21:B24)&lt;4,"",E21)</x:f>
        <x:v>3</x:v>
      </x:c>
      <x:c r="E23" s="30" t="n">
        <x:f>IF(COUNT(B21:B24)&lt;4,"",D23+B23)</x:f>
        <x:v>11</x:v>
      </x:c>
      <x:c r="F23" s="30" t="n">
        <x:f>IF(COUNT(B21:B24)&lt;4,"",G23-B23)</x:f>
        <x:v>3</x:v>
      </x:c>
      <x:c r="G23" s="30" t="n">
        <x:f>IF(COUNT(B21:B24)&lt;4,"",F24)</x:f>
        <x:v>11</x:v>
      </x:c>
      <x:c r="H23" s="30" t="n">
        <x:f>IF(COUNT(B21:B24)&lt;4,"",F23-D23)</x:f>
        <x:v>0</x:v>
      </x:c>
      <x:c r="I23" s="30" t="n">
        <x:f>IF(COUNT(B21:B24)&lt;4,"",D24-E23)</x:f>
        <x:v>0</x:v>
      </x:c>
    </x:row>
    <x:row r="24" ht="79.5" customHeight="1">
      <x:c r="A24" s="7" t="s">
        <x:v>622</x:v>
      </x:c>
      <x:c r="B24" s="27">
        <x:v>10.0</x:v>
      </x:c>
      <x:c r="C24" s="28" t="s">
        <x:v>623</x:v>
      </x:c>
      <x:c r="D24" s="30" t="n">
        <x:f>IF(COUNT(B21:B24)&lt;4,"",MAX(E22,E23))</x:f>
        <x:v>11</x:v>
      </x:c>
      <x:c r="E24" s="30" t="n">
        <x:f>IF(COUNT(B21:B24)&lt;4,"",D24+B24)</x:f>
        <x:v>21</x:v>
      </x:c>
      <x:c r="F24" s="30" t="n">
        <x:f>IF(COUNT(B21:B24)&lt;4,"",G24-B24)</x:f>
        <x:v>11</x:v>
      </x:c>
      <x:c r="G24" s="30" t="n">
        <x:f>IF(COUNT(B21:B24)&lt;4,"",E24)</x:f>
        <x:v>21</x:v>
      </x:c>
      <x:c r="H24" s="30" t="n">
        <x:f>IF(COUNT(B21:B24)&lt;4,"",F24-D24)</x:f>
        <x:v>0</x:v>
      </x:c>
      <x:c r="I24" s="29" t="n">
        <x:f>IF(COUNT(B21:B24)&lt;4,"",0)</x:f>
        <x:v>0</x:v>
      </x:c>
    </x:row>
    <x:row r="25" ht="21.75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1.75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7" customHeight="1">
      <x:c r="A27" s="4" t="s">
        <x:v>624</x:v>
      </x:c>
      <x:c r="B27" s="4"/>
      <x:c r="C27" s="4"/>
      <x:c r="D27" s="4"/>
      <x:c r="E27" s="4"/>
      <x:c r="F27" s="4"/>
      <x:c r="G27" s="4"/>
      <x:c r="H27" s="4"/>
      <x:c r="I27" s="4"/>
    </x:row>
    <x:row r="28" ht="48.75" customHeight="1">
      <x:c r="A28" s="5" t="s">
        <x:v>452</x:v>
      </x:c>
      <x:c r="B28" s="5" t="s">
        <x:v>625</x:v>
      </x:c>
      <x:c r="C28" s="5" t="s">
        <x:v>626</x:v>
      </x:c>
      <x:c r="D28" s="5" t="s">
        <x:v>627</x:v>
      </x:c>
      <x:c r="E28" s="2"/>
      <x:c r="F28" s="2"/>
      <x:c r="G28" s="2"/>
      <x:c r="H28" s="2"/>
      <x:c r="I28" s="2"/>
    </x:row>
    <x:row r="29" ht="79.5" customHeight="1">
      <x:c r="A29" s="7" t="s">
        <x:v>628</x:v>
      </x:c>
      <x:c r="B29" s="16"/>
      <x:c r="C29" s="30" t="n">
        <x:f>IF(E24="","",E24)</x:f>
        <x:v>21</x:v>
      </x:c>
      <x:c r="D29" s="16"/>
      <x:c r="E29" s="2"/>
      <x:c r="F29" s="2"/>
      <x:c r="G29" s="2"/>
      <x:c r="H29" s="2"/>
      <x:c r="I29" s="2"/>
    </x:row>
    <x:row r="30" ht="79.5" customHeight="1">
      <x:c r="A30" s="7" t="s">
        <x:v>629</x:v>
      </x:c>
      <x:c r="B30" s="16"/>
      <x:c r="C30" s="30" t="n">
        <x:f>IF(COUNT(B21:B24)&lt;4,"",SUM(B21:B24))</x:f>
        <x:v>26</x:v>
      </x:c>
      <x:c r="D30" s="16"/>
      <x:c r="E30" s="2"/>
      <x:c r="F30" s="2"/>
      <x:c r="G30" s="2"/>
      <x:c r="H30" s="2"/>
      <x:c r="I30" s="2"/>
    </x:row>
    <x:row r="31" ht="79.5" customHeight="1">
      <x:c r="A31" s="7" t="s">
        <x:v>630</x:v>
      </x:c>
      <x:c r="B31" s="16"/>
      <x:c r="C31" s="30" t="n">
        <x:f>IF(COUNT(B21:B24)&lt;4,"",B21+B81+MAX(B22,B23)+B24)</x:f>
        <x:v>22</x:v>
      </x:c>
      <x:c r="D31" s="16"/>
      <x:c r="E31" s="2"/>
      <x:c r="F31" s="2"/>
      <x:c r="G31" s="2"/>
      <x:c r="H31" s="2"/>
      <x:c r="I31" s="2"/>
    </x:row>
    <x:row r="32" ht="21.75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1.7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7" customHeight="1">
      <x:c r="A34" s="4" t="s">
        <x:v>631</x:v>
      </x:c>
      <x:c r="B34" s="4"/>
      <x:c r="C34" s="4"/>
      <x:c r="D34" s="4"/>
      <x:c r="E34" s="4"/>
      <x:c r="F34" s="4"/>
      <x:c r="G34" s="4"/>
      <x:c r="H34" s="4"/>
      <x:c r="I34" s="4"/>
    </x:row>
    <x:row r="35" ht="48.75" customHeight="1">
      <x:c r="A35" s="5" t="s">
        <x:v>632</x:v>
      </x:c>
      <x:c r="B35" s="5" t="s">
        <x:v>633</x:v>
      </x:c>
      <x:c r="C35" s="5" t="s">
        <x:v>626</x:v>
      </x:c>
      <x:c r="D35" s="5" t="s">
        <x:v>634</x:v>
      </x:c>
      <x:c r="E35" s="5" t="s">
        <x:v>180</x:v>
      </x:c>
      <x:c r="F35" s="2"/>
      <x:c r="G35" s="2"/>
      <x:c r="H35" s="2"/>
      <x:c r="I35" s="2"/>
    </x:row>
    <x:row r="36" ht="79.5" customHeight="1">
      <x:c r="A36" s="7" t="s">
        <x:v>635</x:v>
      </x:c>
      <x:c r="B36" s="27">
        <x:v>8.0</x:v>
      </x:c>
      <x:c r="C36" s="30" t="n">
        <x:f>IF(OR(B36="",COUNT(B21:B24)&lt;4),"",B21+MAX(B22,B36)+B24)</x:f>
        <x:v>21</x:v>
      </x:c>
      <x:c r="D36" s="32">
        <x:v>0.0</x:v>
      </x:c>
      <x:c r="E36" s="16"/>
      <x:c r="F36" s="2"/>
      <x:c r="G36" s="2"/>
      <x:c r="H36" s="2"/>
      <x:c r="I36" s="2"/>
    </x:row>
    <x:row r="37" ht="79.5" customHeight="1">
      <x:c r="A37" s="7" t="s">
        <x:v>636</x:v>
      </x:c>
      <x:c r="B37" s="27">
        <x:v>10.0</x:v>
      </x:c>
      <x:c r="C37" s="30" t="n">
        <x:f>IF(OR(B37="",COUNT(B21:B24)&lt;4),"",B21+MAX(B22,B37)+B24)</x:f>
        <x:v>23</x:v>
      </x:c>
      <x:c r="D37" s="32">
        <x:v>0.0</x:v>
      </x:c>
      <x:c r="E37" s="16"/>
      <x:c r="F37" s="2"/>
      <x:c r="G37" s="2"/>
      <x:c r="H37" s="2"/>
      <x:c r="I37" s="2"/>
    </x:row>
    <x:row r="38" ht="79.5" customHeight="1">
      <x:c r="A38" s="7" t="s">
        <x:v>637</x:v>
      </x:c>
      <x:c r="B38" s="27">
        <x:v>7.0</x:v>
      </x:c>
      <x:c r="C38" s="30" t="n">
        <x:f>IF(OR(B38="",COUNT(B21:B24)&lt;4),"",B21+MAX(B22,B38)+B24)</x:f>
        <x:v>20</x:v>
      </x:c>
      <x:c r="D38" s="32">
        <x:v>0.18</x:v>
      </x:c>
      <x:c r="E38" s="16"/>
      <x:c r="F38" s="2"/>
      <x:c r="G38" s="2"/>
      <x:c r="H38" s="2"/>
      <x:c r="I38" s="2"/>
    </x:row>
    <x:row r="39" ht="21.75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1.7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7" customHeight="1">
      <x:c r="A41" s="4" t="s">
        <x:v>278</x:v>
      </x:c>
      <x:c r="B41" s="4"/>
      <x:c r="C41" s="4"/>
      <x:c r="D41" s="4"/>
      <x:c r="E41" s="4"/>
      <x:c r="F41" s="4"/>
      <x:c r="G41" s="4"/>
      <x:c r="H41" s="4"/>
      <x:c r="I41" s="4"/>
    </x:row>
    <x:row r="42" ht="22.5" customHeight="1">
      <x:c r="A42" s="3" t="s">
        <x:v>638</x:v>
      </x:c>
      <x:c r="B42" s="3"/>
      <x:c r="C42" s="3"/>
      <x:c r="D42" s="3"/>
      <x:c r="E42" s="3"/>
      <x:c r="F42" s="3"/>
      <x:c r="G42" s="3"/>
      <x:c r="H42" s="3"/>
      <x:c r="I42" s="3"/>
    </x:row>
    <x:row r="43" ht="22.5" customHeight="1">
      <x:c r="A43" s="3" t="s">
        <x:v>639</x:v>
      </x:c>
      <x:c r="B43" s="3"/>
      <x:c r="C43" s="3"/>
      <x:c r="D43" s="3"/>
      <x:c r="E43" s="3"/>
      <x:c r="F43" s="3"/>
      <x:c r="G43" s="3"/>
      <x:c r="H43" s="3"/>
      <x:c r="I43" s="3"/>
    </x:row>
    <x:row r="44" ht="22.5" customHeight="1">
      <x:c r="A44" s="3" t="s">
        <x:v>640</x:v>
      </x:c>
      <x:c r="B44" s="3"/>
      <x:c r="C44" s="3"/>
      <x:c r="D44" s="3"/>
      <x:c r="E44" s="3"/>
      <x:c r="F44" s="3"/>
      <x:c r="G44" s="3"/>
      <x:c r="H44" s="3"/>
      <x:c r="I44" s="3"/>
    </x:row>
    <x:row r="45" ht="22.5" customHeight="1">
      <x:c r="A45" s="3" t="s">
        <x:v>641</x:v>
      </x:c>
      <x:c r="B45" s="3"/>
      <x:c r="C45" s="3"/>
      <x:c r="D45" s="3"/>
      <x:c r="E45" s="3"/>
      <x:c r="F45" s="3"/>
      <x:c r="G45" s="3"/>
      <x:c r="H45" s="3"/>
      <x:c r="I45" s="3"/>
    </x:row>
    <x:row r="46" ht="22.5" customHeight="1">
      <x:c r="A46" s="3" t="s">
        <x:v>642</x:v>
      </x:c>
      <x:c r="B46" s="3"/>
      <x:c r="C46" s="3"/>
      <x:c r="D46" s="3"/>
      <x:c r="E46" s="3"/>
      <x:c r="F46" s="3"/>
      <x:c r="G46" s="3"/>
      <x:c r="H46" s="3"/>
      <x:c r="I46" s="3"/>
    </x:row>
    <x:row r="47" ht="22.5" customHeight="1">
      <x:c r="A47" s="3" t="s">
        <x:v>643</x:v>
      </x:c>
      <x:c r="B47" s="3"/>
      <x:c r="C47" s="3"/>
      <x:c r="D47" s="3"/>
      <x:c r="E47" s="3"/>
      <x:c r="F47" s="3"/>
      <x:c r="G47" s="3"/>
      <x:c r="H47" s="3"/>
      <x:c r="I47" s="3"/>
    </x:row>
    <x:row r="48" ht="22.5" customHeight="1">
      <x:c r="A48" s="3" t="s">
        <x:v>644</x:v>
      </x:c>
      <x:c r="B48" s="3"/>
      <x:c r="C48" s="3"/>
      <x:c r="D48" s="3"/>
      <x:c r="E48" s="3"/>
      <x:c r="F48" s="3"/>
      <x:c r="G48" s="3"/>
      <x:c r="H48" s="3"/>
      <x:c r="I48" s="3"/>
    </x:row>
    <x:row r="49" ht="22.5" customHeight="1">
      <x:c r="A49" s="3" t="s">
        <x:v>645</x:v>
      </x:c>
      <x:c r="B49" s="3"/>
      <x:c r="C49" s="3"/>
      <x:c r="D49" s="3"/>
      <x:c r="E49" s="3"/>
      <x:c r="F49" s="3"/>
      <x:c r="G49" s="3"/>
      <x:c r="H49" s="3"/>
      <x:c r="I49" s="3"/>
    </x:row>
    <x:row r="50" ht="22.5" customHeight="1">
      <x:c r="A50" s="3" t="s">
        <x:v>646</x:v>
      </x:c>
      <x:c r="B50" s="3"/>
      <x:c r="C50" s="3"/>
      <x:c r="D50" s="3"/>
      <x:c r="E50" s="3"/>
      <x:c r="F50" s="3"/>
      <x:c r="G50" s="3"/>
      <x:c r="H50" s="3"/>
      <x:c r="I50" s="3"/>
    </x:row>
    <x:row r="51" ht="22.5" customHeight="1">
      <x:c r="A51" s="3" t="s">
        <x:v>647</x:v>
      </x:c>
      <x:c r="B51" s="3"/>
      <x:c r="C51" s="3"/>
      <x:c r="D51" s="3"/>
      <x:c r="E51" s="3"/>
      <x:c r="F51" s="3"/>
      <x:c r="G51" s="3"/>
      <x:c r="H51" s="3"/>
      <x:c r="I51" s="3"/>
    </x:row>
    <x:row r="52" ht="22.5" customHeight="1">
      <x:c r="A52" s="3" t="s">
        <x:v>648</x:v>
      </x:c>
      <x:c r="B52" s="3"/>
      <x:c r="C52" s="3"/>
      <x:c r="D52" s="3"/>
      <x:c r="E52" s="3"/>
      <x:c r="F52" s="3"/>
      <x:c r="G52" s="3"/>
      <x:c r="H52" s="3"/>
      <x:c r="I52" s="3"/>
    </x:row>
    <x:row r="53" ht="22.5" customHeight="1">
      <x:c r="A53" s="3" t="s">
        <x:v>649</x:v>
      </x:c>
      <x:c r="B53" s="3"/>
      <x:c r="C53" s="3"/>
      <x:c r="D53" s="3"/>
      <x:c r="E53" s="3"/>
      <x:c r="F53" s="3"/>
      <x:c r="G53" s="3"/>
      <x:c r="H53" s="3"/>
      <x:c r="I53" s="3"/>
    </x:row>
    <x:row r="54" ht="22.5" customHeight="1">
      <x:c r="A54" s="3" t="s">
        <x:v>650</x:v>
      </x:c>
      <x:c r="B54" s="3"/>
      <x:c r="C54" s="3"/>
      <x:c r="D54" s="3"/>
      <x:c r="E54" s="3"/>
      <x:c r="F54" s="3"/>
      <x:c r="G54" s="3"/>
      <x:c r="H54" s="3"/>
      <x:c r="I54" s="3"/>
    </x:row>
    <x:row r="55" ht="22.5" customHeight="1">
      <x:c r="A55" s="3" t="s">
        <x:v>651</x:v>
      </x:c>
      <x:c r="B55" s="3"/>
      <x:c r="C55" s="3"/>
      <x:c r="D55" s="3"/>
      <x:c r="E55" s="3"/>
      <x:c r="F55" s="3"/>
      <x:c r="G55" s="3"/>
      <x:c r="H55" s="3"/>
      <x:c r="I55" s="3"/>
    </x:row>
    <x:row r="56" ht="22.5" customHeight="1">
      <x:c r="A56" s="3" t="s">
        <x:v>652</x:v>
      </x:c>
      <x:c r="B56" s="3"/>
      <x:c r="C56" s="3"/>
      <x:c r="D56" s="3"/>
      <x:c r="E56" s="3"/>
      <x:c r="F56" s="3"/>
      <x:c r="G56" s="3"/>
      <x:c r="H56" s="3"/>
      <x:c r="I56" s="3"/>
    </x:row>
    <x:row r="57" ht="27" customHeight="1">
      <x:c r="A57" s="4" t="s">
        <x:v>421</x:v>
      </x:c>
      <x:c r="B57" s="4"/>
      <x:c r="C57" s="4"/>
      <x:c r="D57" s="4"/>
      <x:c r="E57" s="4"/>
      <x:c r="F57" s="4"/>
      <x:c r="G57" s="4"/>
      <x:c r="H57" s="4"/>
      <x:c r="I57" s="4"/>
    </x:row>
    <x:row r="58" ht="22.5" customHeight="1">
      <x:c r="A58" s="10" t="s">
        <x:v>653</x:v>
      </x:c>
      <x:c r="B58" s="10"/>
      <x:c r="C58" s="10"/>
      <x:c r="D58" s="10"/>
      <x:c r="E58" s="10"/>
      <x:c r="F58" s="10"/>
      <x:c r="G58" s="10"/>
      <x:c r="H58" s="10"/>
      <x:c r="I58" s="10"/>
    </x:row>
    <x:row r="59" ht="22.5" customHeight="1">
      <x:c r="A59" s="3" t="s">
        <x:v>654</x:v>
      </x:c>
      <x:c r="B59" s="3"/>
      <x:c r="C59" s="3"/>
      <x:c r="D59" s="3"/>
      <x:c r="E59" s="3"/>
      <x:c r="F59" s="3"/>
      <x:c r="G59" s="3"/>
      <x:c r="H59" s="3"/>
      <x:c r="I59" s="3"/>
    </x:row>
    <x:row r="60" ht="22.5" customHeight="1">
      <x:c r="A60" s="3" t="s">
        <x:v>655</x:v>
      </x:c>
      <x:c r="B60" s="3"/>
      <x:c r="C60" s="3"/>
      <x:c r="D60" s="3"/>
      <x:c r="E60" s="3"/>
      <x:c r="F60" s="3"/>
      <x:c r="G60" s="3"/>
      <x:c r="H60" s="3"/>
      <x:c r="I60" s="3"/>
    </x:row>
    <x:row r="61" ht="22.5" customHeight="1">
      <x:c r="A61" s="3" t="s">
        <x:v>656</x:v>
      </x:c>
      <x:c r="B61" s="3"/>
      <x:c r="C61" s="3"/>
      <x:c r="D61" s="3"/>
      <x:c r="E61" s="3"/>
      <x:c r="F61" s="3"/>
      <x:c r="G61" s="3"/>
      <x:c r="H61" s="3"/>
      <x:c r="I61" s="3"/>
    </x:row>
    <x:row r="62" ht="22.5" customHeight="1">
      <x:c r="A62" s="3" t="s">
        <x:v>657</x:v>
      </x:c>
      <x:c r="B62" s="3"/>
      <x:c r="C62" s="3"/>
      <x:c r="D62" s="3"/>
      <x:c r="E62" s="3"/>
      <x:c r="F62" s="3"/>
      <x:c r="G62" s="3"/>
      <x:c r="H62" s="3"/>
      <x:c r="I62" s="3"/>
    </x:row>
    <x:row r="63" ht="22.5" customHeight="1">
      <x:c r="A63" s="3" t="s">
        <x:v>658</x:v>
      </x:c>
      <x:c r="B63" s="3"/>
      <x:c r="C63" s="3"/>
      <x:c r="D63" s="3"/>
      <x:c r="E63" s="3"/>
      <x:c r="F63" s="3"/>
      <x:c r="G63" s="3"/>
      <x:c r="H63" s="3"/>
      <x:c r="I63" s="3"/>
    </x:row>
    <x:row r="64" ht="22.5" customHeight="1">
      <x:c r="A64" s="3" t="s">
        <x:v>659</x:v>
      </x:c>
      <x:c r="B64" s="3"/>
      <x:c r="C64" s="3"/>
      <x:c r="D64" s="3"/>
      <x:c r="E64" s="3"/>
      <x:c r="F64" s="3"/>
      <x:c r="G64" s="3"/>
      <x:c r="H64" s="3"/>
      <x:c r="I64" s="3"/>
    </x:row>
    <x:row r="65" ht="22.5" customHeight="1">
      <x:c r="A65" s="3" t="s">
        <x:v>660</x:v>
      </x:c>
      <x:c r="B65" s="3"/>
      <x:c r="C65" s="3"/>
      <x:c r="D65" s="3"/>
      <x:c r="E65" s="3"/>
      <x:c r="F65" s="3"/>
      <x:c r="G65" s="3"/>
      <x:c r="H65" s="3"/>
      <x:c r="I65" s="3"/>
    </x:row>
    <x:row r="66" ht="22.5" customHeight="1">
      <x:c r="A66" s="3" t="s">
        <x:v>661</x:v>
      </x:c>
      <x:c r="B66" s="3"/>
      <x:c r="C66" s="3"/>
      <x:c r="D66" s="3"/>
      <x:c r="E66" s="3"/>
      <x:c r="F66" s="3"/>
      <x:c r="G66" s="3"/>
      <x:c r="H66" s="3"/>
      <x:c r="I66" s="3"/>
    </x:row>
    <x:row r="67" ht="22.5" customHeight="1">
      <x:c r="A67" s="3" t="s">
        <x:v>662</x:v>
      </x:c>
      <x:c r="B67" s="3"/>
      <x:c r="C67" s="3"/>
      <x:c r="D67" s="3"/>
      <x:c r="E67" s="3"/>
      <x:c r="F67" s="3"/>
      <x:c r="G67" s="3"/>
      <x:c r="H67" s="3"/>
      <x:c r="I67" s="3"/>
    </x:row>
    <x:row r="68" ht="22.5" customHeight="1">
      <x:c r="A68" s="3" t="s">
        <x:v>663</x:v>
      </x:c>
      <x:c r="B68" s="3"/>
      <x:c r="C68" s="3"/>
      <x:c r="D68" s="3"/>
      <x:c r="E68" s="3"/>
      <x:c r="F68" s="3"/>
      <x:c r="G68" s="3"/>
      <x:c r="H68" s="3"/>
      <x:c r="I68" s="3"/>
    </x:row>
    <x:row r="69" ht="27" customHeight="1">
      <x:c r="A69" s="4" t="s">
        <x:v>664</x:v>
      </x:c>
      <x:c r="B69" s="4"/>
      <x:c r="C69" s="4"/>
      <x:c r="D69" s="4"/>
      <x:c r="E69" s="4"/>
      <x:c r="F69" s="4"/>
      <x:c r="G69" s="4"/>
      <x:c r="H69" s="4"/>
      <x:c r="I69" s="4"/>
    </x:row>
    <x:row r="70" ht="48.75" customHeight="1">
      <x:c r="A70" s="5" t="s">
        <x:v>530</x:v>
      </x:c>
      <x:c r="B70" s="5" t="s">
        <x:v>537</x:v>
      </x:c>
      <x:c r="C70" s="2"/>
      <x:c r="D70" s="2"/>
      <x:c r="E70" s="2"/>
      <x:c r="F70" s="2"/>
      <x:c r="G70" s="2"/>
      <x:c r="H70" s="2"/>
      <x:c r="I70" s="2"/>
    </x:row>
    <x:row r="71" ht="37.5" customHeight="1">
      <x:c r="A71" s="15" t="s">
        <x:v>618</x:v>
      </x:c>
      <x:c r="B71" s="15" t="s">
        <x:v>665</x:v>
      </x:c>
      <x:c r="C71" s="2"/>
      <x:c r="D71" s="2"/>
      <x:c r="E71" s="2"/>
      <x:c r="F71" s="2"/>
      <x:c r="G71" s="2"/>
      <x:c r="H71" s="2"/>
      <x:c r="I71" s="2"/>
    </x:row>
    <x:row r="72" ht="37.5" customHeight="1">
      <x:c r="A72" s="15" t="s">
        <x:v>620</x:v>
      </x:c>
      <x:c r="B72" s="15" t="s">
        <x:v>400</x:v>
      </x:c>
      <x:c r="C72" s="2"/>
      <x:c r="D72" s="2"/>
      <x:c r="E72" s="2"/>
      <x:c r="F72" s="2"/>
      <x:c r="G72" s="2"/>
      <x:c r="H72" s="2"/>
      <x:c r="I72" s="2"/>
    </x:row>
    <x:row r="73" ht="72" customHeight="1">
      <x:c r="A73" s="15" t="s">
        <x:v>621</x:v>
      </x:c>
      <x:c r="B73" s="15" t="s">
        <x:v>666</x:v>
      </x:c>
      <x:c r="C73" s="2"/>
      <x:c r="D73" s="2"/>
      <x:c r="E73" s="2"/>
      <x:c r="F73" s="2"/>
      <x:c r="G73" s="2"/>
      <x:c r="H73" s="2"/>
      <x:c r="I73" s="2"/>
    </x:row>
    <x:row r="74" ht="57" customHeight="1">
      <x:c r="A74" s="15" t="s">
        <x:v>622</x:v>
      </x:c>
      <x:c r="B74" s="15" t="s">
        <x:v>667</x:v>
      </x:c>
      <x:c r="C74" s="2"/>
      <x:c r="D74" s="2"/>
      <x:c r="E74" s="2"/>
      <x:c r="F74" s="2"/>
      <x:c r="G74" s="2"/>
      <x:c r="H74" s="2"/>
      <x:c r="I74" s="2"/>
    </x:row>
    <x:row r="75" ht="21.75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1.75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2.5" customHeight="1">
      <x:c r="A77" s="3" t="s">
        <x:v>668</x:v>
      </x:c>
      <x:c r="B77" s="3"/>
      <x:c r="C77" s="3"/>
      <x:c r="D77" s="3"/>
      <x:c r="E77" s="3"/>
      <x:c r="F77" s="3"/>
      <x:c r="G77" s="3"/>
      <x:c r="H77" s="3"/>
      <x:c r="I77" s="3"/>
    </x:row>
    <x:row r="78" ht="22.5" customHeight="1">
      <x:c r="A78" s="3" t="s">
        <x:v>669</x:v>
      </x:c>
      <x:c r="B78" s="3"/>
      <x:c r="C78" s="3"/>
      <x:c r="D78" s="3"/>
      <x:c r="E78" s="3"/>
      <x:c r="F78" s="3"/>
      <x:c r="G78" s="3"/>
      <x:c r="H78" s="3"/>
      <x:c r="I78" s="3"/>
    </x:row>
    <x:row r="79" ht="27" customHeight="1">
      <x:c r="A79" s="4" t="s">
        <x:v>670</x:v>
      </x:c>
      <x:c r="B79" s="4"/>
      <x:c r="C79" s="4"/>
      <x:c r="D79" s="4"/>
      <x:c r="E79" s="4"/>
      <x:c r="F79" s="4"/>
      <x:c r="G79" s="4"/>
      <x:c r="H79" s="4"/>
      <x:c r="I79" s="4"/>
    </x:row>
    <x:row r="80" ht="48.75" customHeight="1">
      <x:c r="A80" s="5" t="s">
        <x:v>211</x:v>
      </x:c>
      <x:c r="B80" s="5" t="s">
        <x:v>212</x:v>
      </x:c>
      <x:c r="C80" s="2"/>
      <x:c r="D80" s="2"/>
      <x:c r="E80" s="2"/>
      <x:c r="F80" s="2"/>
      <x:c r="G80" s="2"/>
      <x:c r="H80" s="2"/>
      <x:c r="I80" s="2"/>
    </x:row>
    <x:row r="81" ht="42" customHeight="1">
      <x:c r="A81" s="15" t="s">
        <x:v>671</x:v>
      </x:c>
      <x:c r="B81" s="27">
        <x:v>1.0</x:v>
      </x:c>
      <x:c r="C81" s="2"/>
      <x:c r="D81" s="2"/>
      <x:c r="E81" s="2"/>
      <x:c r="F81" s="2"/>
      <x:c r="G81" s="2"/>
      <x:c r="H81" s="2"/>
      <x:c r="I81" s="2"/>
    </x:row>
    <x:row r="82" ht="21.75" customHeight="1">
      <x:c r="A82" s="2"/>
      <x:c r="B82" s="2"/>
      <x:c r="C82" s="2"/>
      <x:c r="D82" s="2"/>
      <x:c r="E82" s="2"/>
      <x:c r="F82" s="2"/>
      <x:c r="G82" s="2"/>
      <x:c r="H82" s="2"/>
      <x:c r="I82" s="2"/>
    </x:row>
    <x:row r="83" ht="21.75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2.5" customHeight="1">
      <x:c r="A84" s="3" t="s">
        <x:v>672</x:v>
      </x:c>
      <x:c r="B84" s="3"/>
      <x:c r="C84" s="3"/>
      <x:c r="D84" s="3"/>
      <x:c r="E84" s="3"/>
      <x:c r="F84" s="3"/>
      <x:c r="G84" s="3"/>
      <x:c r="H84" s="3"/>
      <x:c r="I84" s="3"/>
    </x:row>
    <x:row r="85" ht="22.5" customHeight="1">
      <x:c r="A85" s="3" t="s">
        <x:v>673</x:v>
      </x:c>
      <x:c r="B85" s="3"/>
      <x:c r="C85" s="3"/>
      <x:c r="D85" s="3"/>
      <x:c r="E85" s="3"/>
      <x:c r="F85" s="3"/>
      <x:c r="G85" s="3"/>
      <x:c r="H85" s="3"/>
      <x:c r="I85" s="3"/>
    </x:row>
    <x:row r="86" ht="22.5" customHeight="1">
      <x:c r="A86" s="3" t="s">
        <x:v>674</x:v>
      </x:c>
      <x:c r="B86" s="3"/>
      <x:c r="C86" s="3"/>
      <x:c r="D86" s="3"/>
      <x:c r="E86" s="3"/>
      <x:c r="F86" s="3"/>
      <x:c r="G86" s="3"/>
      <x:c r="H86" s="3"/>
      <x:c r="I86" s="3"/>
    </x:row>
    <x:row r="87" ht="22.5" customHeight="1">
      <x:c r="A87" s="3" t="s">
        <x:v>675</x:v>
      </x:c>
      <x:c r="B87" s="3"/>
      <x:c r="C87" s="3"/>
      <x:c r="D87" s="3"/>
      <x:c r="E87" s="3"/>
      <x:c r="F87" s="3"/>
      <x:c r="G87" s="3"/>
      <x:c r="H87" s="3"/>
      <x:c r="I87" s="3"/>
    </x:row>
    <x:row r="88" ht="22.5" customHeight="1">
      <x:c r="A88" s="3" t="s">
        <x:v>676</x:v>
      </x:c>
      <x:c r="B88" s="3"/>
      <x:c r="C88" s="3"/>
      <x:c r="D88" s="3"/>
      <x:c r="E88" s="3"/>
      <x:c r="F88" s="3"/>
      <x:c r="G88" s="3"/>
      <x:c r="H88" s="3"/>
      <x:c r="I88" s="3"/>
    </x:row>
    <x:row r="89" ht="22.5" customHeight="1">
      <x:c r="A89" s="3" t="s">
        <x:v>296</x:v>
      </x:c>
      <x:c r="B89" s="3"/>
      <x:c r="C89" s="3"/>
      <x:c r="D89" s="3"/>
      <x:c r="E89" s="3"/>
      <x:c r="F89" s="3"/>
      <x:c r="G89" s="3"/>
      <x:c r="H89" s="3"/>
      <x:c r="I89" s="3"/>
    </x:row>
    <x:row r="90" ht="21.75" customHeight="1">
      <x:c r="A90" s="2"/>
      <x:c r="B90" s="2"/>
      <x:c r="C90" s="2"/>
      <x:c r="D90" s="2"/>
      <x:c r="E90" s="2"/>
      <x:c r="F90" s="2"/>
      <x:c r="G90" s="2"/>
      <x:c r="H90" s="2"/>
      <x:c r="I90" s="2"/>
    </x:row>
    <x:row r="91" ht="21.75" customHeight="1">
      <x:c r="A91" s="6" t="s">
        <x:v>380</x:v>
      </x:c>
      <x:c r="B91" s="2"/>
      <x:c r="C91" s="2"/>
      <x:c r="D91" s="2"/>
      <x:c r="E91" s="2"/>
      <x:c r="F91" s="2"/>
      <x:c r="G91" s="2"/>
      <x:c r="H91" s="2"/>
      <x:c r="I91" s="2"/>
    </x:row>
    <x:row r="92" ht="22.5" customHeight="1">
      <x:c r="A92" s="3" t="s">
        <x:v>677</x:v>
      </x:c>
      <x:c r="B92" s="3"/>
      <x:c r="C92" s="3"/>
      <x:c r="D92" s="3"/>
      <x:c r="E92" s="3"/>
      <x:c r="F92" s="3"/>
      <x:c r="G92" s="3"/>
      <x:c r="H92" s="3"/>
      <x:c r="I92" s="3"/>
    </x:row>
    <x:row r="93" ht="22.5" customHeight="1">
      <x:c r="A93" s="3" t="s">
        <x:v>678</x:v>
      </x:c>
      <x:c r="B93" s="3"/>
      <x:c r="C93" s="3"/>
      <x:c r="D93" s="3"/>
      <x:c r="E93" s="3"/>
      <x:c r="F93" s="3"/>
      <x:c r="G93" s="3"/>
      <x:c r="H93" s="3"/>
      <x:c r="I93" s="3"/>
    </x:row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21.75" customHeight="1"/>
    <x:row r="277" ht="21.75" customHeight="1"/>
    <x:row r="278" ht="21.75" customHeight="1"/>
    <x:row r="279" ht="21.75" customHeight="1"/>
    <x:row r="280" ht="21.75" customHeight="1"/>
    <x:row r="281" ht="21.75" customHeight="1"/>
    <x:row r="282" ht="21.75" customHeight="1"/>
    <x:row r="283" ht="21.75" customHeight="1"/>
    <x:row r="284" ht="21.75" customHeight="1"/>
    <x:row r="285" ht="21.75" customHeight="1"/>
    <x:row r="286" ht="21.75" customHeight="1"/>
    <x:row r="287" ht="21.75" customHeight="1"/>
    <x:row r="288" ht="21.75" customHeight="1"/>
    <x:row r="289" ht="21.75" customHeight="1"/>
    <x:row r="290" ht="21.75" customHeight="1"/>
    <x:row r="291" ht="21.75" customHeight="1"/>
    <x:row r="292" ht="21.75" customHeight="1"/>
    <x:row r="293" ht="21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91" location="'С05_Содержание'!A1"/>
  </x:hyperlink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34" customWidth="1"/>
    <x:col min="2" max="2" width="16" customWidth="1"/>
    <x:col min="3" max="3" width="17" customWidth="1"/>
    <x:col min="4" max="4" width="22" customWidth="1"/>
    <x:col min="5" max="6" width="16" customWidth="1"/>
    <x:col min="7" max="7" width="22" customWidth="1"/>
    <x:col min="8" max="26" width="8.630000114440918" customWidth="1"/>
  </x:cols>
  <x:sheetData>
    <x:row r="1" ht="28.5" customHeight="1">
      <x:c r="A1" s="1" t="s">
        <x:v>679</x:v>
      </x:c>
      <x:c r="B1" s="1"/>
      <x:c r="C1" s="1"/>
      <x:c r="D1" s="1"/>
      <x:c r="E1" s="1"/>
      <x:c r="F1" s="1"/>
      <x:c r="G1" s="1"/>
    </x:row>
    <x:row r="2" ht="21.75" customHeight="1">
      <x:c r="A2" s="2"/>
      <x:c r="B2" s="2"/>
      <x:c r="C2" s="2"/>
      <x:c r="D2" s="2"/>
      <x:c r="E2" s="2"/>
      <x:c r="F2" s="2"/>
      <x:c r="G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  <x:c r="F3" s="2"/>
      <x:c r="G3" s="2"/>
    </x:row>
    <x:row r="4" ht="21.75" customHeight="1">
      <x:c r="A4" s="2"/>
      <x:c r="B4" s="2"/>
      <x:c r="C4" s="2"/>
      <x:c r="D4" s="2"/>
      <x:c r="E4" s="2"/>
      <x:c r="F4" s="2"/>
      <x:c r="G4" s="2"/>
    </x:row>
    <x:row r="5" ht="22.5" customHeight="1">
      <x:c r="A5" s="10" t="s">
        <x:v>680</x:v>
      </x:c>
      <x:c r="B5" s="10"/>
      <x:c r="C5" s="10"/>
      <x:c r="D5" s="10"/>
      <x:c r="E5" s="10"/>
      <x:c r="F5" s="10"/>
      <x:c r="G5" s="10"/>
    </x:row>
    <x:row r="6" ht="22.5" customHeight="1">
      <x:c r="A6" s="3" t="s">
        <x:v>681</x:v>
      </x:c>
      <x:c r="B6" s="3"/>
      <x:c r="C6" s="3"/>
      <x:c r="D6" s="3"/>
      <x:c r="E6" s="3"/>
      <x:c r="F6" s="3"/>
      <x:c r="G6" s="3"/>
    </x:row>
    <x:row r="7" ht="22.5" customHeight="1">
      <x:c r="A7" s="3" t="s">
        <x:v>682</x:v>
      </x:c>
      <x:c r="B7" s="3"/>
      <x:c r="C7" s="3"/>
      <x:c r="D7" s="3"/>
      <x:c r="E7" s="3"/>
      <x:c r="F7" s="3"/>
      <x:c r="G7" s="3"/>
    </x:row>
    <x:row r="8" ht="22.5" customHeight="1">
      <x:c r="A8" s="3" t="s">
        <x:v>683</x:v>
      </x:c>
      <x:c r="B8" s="3"/>
      <x:c r="C8" s="3"/>
      <x:c r="D8" s="3"/>
      <x:c r="E8" s="3"/>
      <x:c r="F8" s="3"/>
      <x:c r="G8" s="3"/>
    </x:row>
    <x:row r="9" ht="22.5" customHeight="1">
      <x:c r="A9" s="3" t="s">
        <x:v>684</x:v>
      </x:c>
      <x:c r="B9" s="3"/>
      <x:c r="C9" s="3"/>
      <x:c r="D9" s="3"/>
      <x:c r="E9" s="3"/>
      <x:c r="F9" s="3"/>
      <x:c r="G9" s="3"/>
    </x:row>
    <x:row r="10" ht="22.5" customHeight="1">
      <x:c r="A10" s="3" t="s">
        <x:v>685</x:v>
      </x:c>
      <x:c r="B10" s="3"/>
      <x:c r="C10" s="3"/>
      <x:c r="D10" s="3"/>
      <x:c r="E10" s="3"/>
      <x:c r="F10" s="3"/>
      <x:c r="G10" s="3"/>
    </x:row>
    <x:row r="11" ht="22.5" customHeight="1">
      <x:c r="A11" s="3" t="s">
        <x:v>686</x:v>
      </x:c>
      <x:c r="B11" s="3"/>
      <x:c r="C11" s="3"/>
      <x:c r="D11" s="3"/>
      <x:c r="E11" s="3"/>
      <x:c r="F11" s="3"/>
      <x:c r="G11" s="3"/>
    </x:row>
    <x:row r="12" ht="22.5" customHeight="1">
      <x:c r="A12" s="3" t="s">
        <x:v>687</x:v>
      </x:c>
      <x:c r="B12" s="3"/>
      <x:c r="C12" s="3"/>
      <x:c r="D12" s="3"/>
      <x:c r="E12" s="3"/>
      <x:c r="F12" s="3"/>
      <x:c r="G12" s="3"/>
    </x:row>
    <x:row r="13" ht="22.5" customHeight="1">
      <x:c r="A13" s="3" t="s">
        <x:v>688</x:v>
      </x:c>
      <x:c r="B13" s="3"/>
      <x:c r="C13" s="3"/>
      <x:c r="D13" s="3"/>
      <x:c r="E13" s="3"/>
      <x:c r="F13" s="3"/>
      <x:c r="G13" s="3"/>
    </x:row>
    <x:row r="14" ht="22.5" customHeight="1">
      <x:c r="A14" s="3" t="s">
        <x:v>689</x:v>
      </x:c>
      <x:c r="B14" s="3"/>
      <x:c r="C14" s="3"/>
      <x:c r="D14" s="3"/>
      <x:c r="E14" s="3"/>
      <x:c r="F14" s="3"/>
      <x:c r="G14" s="3"/>
    </x:row>
    <x:row r="15" ht="22.5" customHeight="1">
      <x:c r="A15" s="3" t="s">
        <x:v>690</x:v>
      </x:c>
      <x:c r="B15" s="3"/>
      <x:c r="C15" s="3"/>
      <x:c r="D15" s="3"/>
      <x:c r="E15" s="3"/>
      <x:c r="F15" s="3"/>
      <x:c r="G15" s="3"/>
    </x:row>
    <x:row r="16" ht="22.5" customHeight="1">
      <x:c r="A16" s="3" t="s">
        <x:v>245</x:v>
      </x:c>
      <x:c r="B16" s="3"/>
      <x:c r="C16" s="3"/>
      <x:c r="D16" s="3"/>
      <x:c r="E16" s="3"/>
      <x:c r="F16" s="3"/>
      <x:c r="G16" s="3"/>
    </x:row>
    <x:row r="17" ht="27" customHeight="1">
      <x:c r="A17" s="4" t="s">
        <x:v>691</x:v>
      </x:c>
      <x:c r="B17" s="4"/>
      <x:c r="C17" s="4"/>
      <x:c r="D17" s="4"/>
      <x:c r="E17" s="4"/>
      <x:c r="F17" s="4"/>
      <x:c r="G17" s="4"/>
    </x:row>
    <x:row r="18" ht="48.75" customHeight="1">
      <x:c r="A18" s="5" t="s">
        <x:v>465</x:v>
      </x:c>
      <x:c r="B18" s="5" t="s">
        <x:v>184</x:v>
      </x:c>
      <x:c r="C18" s="5" t="s">
        <x:v>692</x:v>
      </x:c>
      <x:c r="D18" s="5" t="s">
        <x:v>187</x:v>
      </x:c>
      <x:c r="E18" s="5" t="s">
        <x:v>693</x:v>
      </x:c>
      <x:c r="F18" s="5" t="s">
        <x:v>195</x:v>
      </x:c>
      <x:c r="G18" s="5" t="s">
        <x:v>192</x:v>
      </x:c>
    </x:row>
    <x:row r="19" ht="79.5" customHeight="1">
      <x:c r="A19" s="7" t="s">
        <x:v>694</x:v>
      </x:c>
      <x:c r="B19" s="16"/>
      <x:c r="C19" s="16"/>
      <x:c r="D19" s="16"/>
      <x:c r="E19" s="16"/>
      <x:c r="F19" s="16"/>
      <x:c r="G19" s="16"/>
    </x:row>
    <x:row r="20" ht="79.5" customHeight="1">
      <x:c r="A20" s="7" t="s">
        <x:v>695</x:v>
      </x:c>
      <x:c r="B20" s="16"/>
      <x:c r="C20" s="16"/>
      <x:c r="D20" s="16"/>
      <x:c r="E20" s="16"/>
      <x:c r="F20" s="16"/>
      <x:c r="G20" s="16"/>
    </x:row>
    <x:row r="21" ht="79.5" customHeight="1">
      <x:c r="A21" s="7" t="s">
        <x:v>696</x:v>
      </x:c>
      <x:c r="B21" s="16"/>
      <x:c r="C21" s="16"/>
      <x:c r="D21" s="16"/>
      <x:c r="E21" s="16"/>
      <x:c r="F21" s="16"/>
      <x:c r="G21" s="16"/>
    </x:row>
    <x:row r="22" ht="79.5" customHeight="1">
      <x:c r="A22" s="7" t="s">
        <x:v>697</x:v>
      </x:c>
      <x:c r="B22" s="16"/>
      <x:c r="C22" s="16"/>
      <x:c r="D22" s="16"/>
      <x:c r="E22" s="16"/>
      <x:c r="F22" s="16"/>
      <x:c r="G22" s="16"/>
    </x:row>
    <x:row r="23" ht="79.5" customHeight="1">
      <x:c r="A23" s="7" t="s">
        <x:v>698</x:v>
      </x:c>
      <x:c r="B23" s="16"/>
      <x:c r="C23" s="16"/>
      <x:c r="D23" s="16"/>
      <x:c r="E23" s="16"/>
      <x:c r="F23" s="16"/>
      <x:c r="G23" s="16"/>
    </x:row>
    <x:row r="24" ht="79.5" customHeight="1">
      <x:c r="A24" s="7" t="s">
        <x:v>699</x:v>
      </x:c>
      <x:c r="B24" s="16"/>
      <x:c r="C24" s="16"/>
      <x:c r="D24" s="16"/>
      <x:c r="E24" s="16"/>
      <x:c r="F24" s="16"/>
      <x:c r="G24" s="16"/>
    </x:row>
    <x:row r="25" ht="21.75" customHeight="1">
      <x:c r="A25" s="2"/>
      <x:c r="B25" s="2"/>
      <x:c r="C25" s="2"/>
      <x:c r="D25" s="2"/>
      <x:c r="E25" s="2"/>
      <x:c r="F25" s="2"/>
      <x:c r="G25" s="2"/>
    </x:row>
    <x:row r="26" ht="21.75" customHeight="1">
      <x:c r="A26" s="2"/>
      <x:c r="B26" s="2"/>
      <x:c r="C26" s="2"/>
      <x:c r="D26" s="2"/>
      <x:c r="E26" s="2"/>
      <x:c r="F26" s="2"/>
      <x:c r="G26" s="2"/>
    </x:row>
    <x:row r="27" ht="27" customHeight="1">
      <x:c r="A27" s="4" t="s">
        <x:v>700</x:v>
      </x:c>
      <x:c r="B27" s="4"/>
      <x:c r="C27" s="4"/>
      <x:c r="D27" s="4"/>
      <x:c r="E27" s="4"/>
      <x:c r="F27" s="4"/>
      <x:c r="G27" s="4"/>
    </x:row>
    <x:row r="28" ht="48.75" customHeight="1">
      <x:c r="A28" s="5" t="s">
        <x:v>701</x:v>
      </x:c>
      <x:c r="B28" s="5" t="s">
        <x:v>702</x:v>
      </x:c>
      <x:c r="C28" s="5" t="s">
        <x:v>703</x:v>
      </x:c>
      <x:c r="D28" s="2"/>
      <x:c r="E28" s="2"/>
      <x:c r="F28" s="2"/>
      <x:c r="G28" s="2"/>
    </x:row>
    <x:row r="29" ht="79.5" customHeight="1">
      <x:c r="A29" s="7" t="s">
        <x:v>704</x:v>
      </x:c>
      <x:c r="B29" s="16"/>
      <x:c r="C29" s="16"/>
      <x:c r="D29" s="2"/>
      <x:c r="E29" s="2"/>
      <x:c r="F29" s="2"/>
      <x:c r="G29" s="2"/>
    </x:row>
    <x:row r="30" ht="79.5" customHeight="1">
      <x:c r="A30" s="7" t="s">
        <x:v>705</x:v>
      </x:c>
      <x:c r="B30" s="16"/>
      <x:c r="C30" s="16"/>
      <x:c r="D30" s="2"/>
      <x:c r="E30" s="2"/>
      <x:c r="F30" s="2"/>
      <x:c r="G30" s="2"/>
    </x:row>
    <x:row r="31" ht="79.5" customHeight="1">
      <x:c r="A31" s="7" t="s">
        <x:v>706</x:v>
      </x:c>
      <x:c r="B31" s="16"/>
      <x:c r="C31" s="16"/>
      <x:c r="D31" s="2"/>
      <x:c r="E31" s="2"/>
      <x:c r="F31" s="2"/>
      <x:c r="G31" s="2"/>
    </x:row>
    <x:row r="32" ht="79.5" customHeight="1">
      <x:c r="A32" s="7" t="s">
        <x:v>707</x:v>
      </x:c>
      <x:c r="B32" s="16"/>
      <x:c r="C32" s="16"/>
      <x:c r="D32" s="2"/>
      <x:c r="E32" s="2"/>
      <x:c r="F32" s="2"/>
      <x:c r="G32" s="2"/>
    </x:row>
    <x:row r="33" ht="79.5" customHeight="1">
      <x:c r="A33" s="7" t="s">
        <x:v>708</x:v>
      </x:c>
      <x:c r="B33" s="16"/>
      <x:c r="C33" s="16"/>
      <x:c r="D33" s="2"/>
      <x:c r="E33" s="2"/>
      <x:c r="F33" s="2"/>
      <x:c r="G33" s="2"/>
    </x:row>
    <x:row r="34" ht="21.75" customHeight="1">
      <x:c r="A34" s="2"/>
      <x:c r="B34" s="2"/>
      <x:c r="C34" s="2"/>
      <x:c r="D34" s="2"/>
      <x:c r="E34" s="2"/>
      <x:c r="F34" s="2"/>
      <x:c r="G34" s="2"/>
    </x:row>
    <x:row r="35" ht="21.75" customHeight="1">
      <x:c r="A35" s="2"/>
      <x:c r="B35" s="2"/>
      <x:c r="C35" s="2"/>
      <x:c r="D35" s="2"/>
      <x:c r="E35" s="2"/>
      <x:c r="F35" s="2"/>
      <x:c r="G35" s="2"/>
    </x:row>
    <x:row r="36" ht="27" customHeight="1">
      <x:c r="A36" s="4" t="s">
        <x:v>709</x:v>
      </x:c>
      <x:c r="B36" s="4"/>
      <x:c r="C36" s="4"/>
      <x:c r="D36" s="4"/>
      <x:c r="E36" s="4"/>
      <x:c r="F36" s="4"/>
      <x:c r="G36" s="4"/>
    </x:row>
    <x:row r="37" ht="48.75" customHeight="1">
      <x:c r="A37" s="5" t="s">
        <x:v>710</x:v>
      </x:c>
      <x:c r="B37" s="5" t="s">
        <x:v>711</x:v>
      </x:c>
      <x:c r="C37" s="5" t="s">
        <x:v>712</x:v>
      </x:c>
      <x:c r="D37" s="5" t="s">
        <x:v>713</x:v>
      </x:c>
      <x:c r="E37" s="2"/>
      <x:c r="F37" s="2"/>
      <x:c r="G37" s="2"/>
    </x:row>
    <x:row r="38" ht="79.5" customHeight="1">
      <x:c r="A38" s="16"/>
      <x:c r="B38" s="16"/>
      <x:c r="C38" s="16"/>
      <x:c r="D38" s="16"/>
      <x:c r="E38" s="2"/>
      <x:c r="F38" s="2"/>
      <x:c r="G38" s="2"/>
    </x:row>
    <x:row r="39" ht="21.75" customHeight="1">
      <x:c r="A39" s="2"/>
      <x:c r="B39" s="2"/>
      <x:c r="C39" s="2"/>
      <x:c r="D39" s="2"/>
      <x:c r="E39" s="2"/>
      <x:c r="F39" s="2"/>
      <x:c r="G39" s="2"/>
    </x:row>
    <x:row r="40" ht="21.75" customHeight="1">
      <x:c r="A40" s="2"/>
      <x:c r="B40" s="2"/>
      <x:c r="C40" s="2"/>
      <x:c r="D40" s="2"/>
      <x:c r="E40" s="2"/>
      <x:c r="F40" s="2"/>
      <x:c r="G40" s="2"/>
    </x:row>
    <x:row r="41" ht="27" customHeight="1">
      <x:c r="A41" s="4" t="s">
        <x:v>278</x:v>
      </x:c>
      <x:c r="B41" s="4"/>
      <x:c r="C41" s="4"/>
      <x:c r="D41" s="4"/>
      <x:c r="E41" s="4"/>
      <x:c r="F41" s="4"/>
      <x:c r="G41" s="4"/>
    </x:row>
    <x:row r="42" ht="22.5" customHeight="1">
      <x:c r="A42" s="3" t="s">
        <x:v>714</x:v>
      </x:c>
      <x:c r="B42" s="3"/>
      <x:c r="C42" s="3"/>
      <x:c r="D42" s="3"/>
      <x:c r="E42" s="3"/>
      <x:c r="F42" s="3"/>
      <x:c r="G42" s="3"/>
    </x:row>
    <x:row r="43" ht="22.5" customHeight="1">
      <x:c r="A43" s="3" t="s">
        <x:v>715</x:v>
      </x:c>
      <x:c r="B43" s="3"/>
      <x:c r="C43" s="3"/>
      <x:c r="D43" s="3"/>
      <x:c r="E43" s="3"/>
      <x:c r="F43" s="3"/>
      <x:c r="G43" s="3"/>
    </x:row>
    <x:row r="44" ht="22.5" customHeight="1">
      <x:c r="A44" s="3" t="s">
        <x:v>716</x:v>
      </x:c>
      <x:c r="B44" s="3"/>
      <x:c r="C44" s="3"/>
      <x:c r="D44" s="3"/>
      <x:c r="E44" s="3"/>
      <x:c r="F44" s="3"/>
      <x:c r="G44" s="3"/>
    </x:row>
    <x:row r="45" ht="22.5" customHeight="1">
      <x:c r="A45" s="3" t="s">
        <x:v>717</x:v>
      </x:c>
      <x:c r="B45" s="3"/>
      <x:c r="C45" s="3"/>
      <x:c r="D45" s="3"/>
      <x:c r="E45" s="3"/>
      <x:c r="F45" s="3"/>
      <x:c r="G45" s="3"/>
    </x:row>
    <x:row r="46" ht="22.5" customHeight="1">
      <x:c r="A46" s="3" t="s">
        <x:v>718</x:v>
      </x:c>
      <x:c r="B46" s="3"/>
      <x:c r="C46" s="3"/>
      <x:c r="D46" s="3"/>
      <x:c r="E46" s="3"/>
      <x:c r="F46" s="3"/>
      <x:c r="G46" s="3"/>
    </x:row>
    <x:row r="47" ht="22.5" customHeight="1">
      <x:c r="A47" s="3" t="s">
        <x:v>719</x:v>
      </x:c>
      <x:c r="B47" s="3"/>
      <x:c r="C47" s="3"/>
      <x:c r="D47" s="3"/>
      <x:c r="E47" s="3"/>
      <x:c r="F47" s="3"/>
      <x:c r="G47" s="3"/>
    </x:row>
    <x:row r="48" ht="22.5" customHeight="1">
      <x:c r="A48" s="3" t="s">
        <x:v>720</x:v>
      </x:c>
      <x:c r="B48" s="3"/>
      <x:c r="C48" s="3"/>
      <x:c r="D48" s="3"/>
      <x:c r="E48" s="3"/>
      <x:c r="F48" s="3"/>
      <x:c r="G48" s="3"/>
    </x:row>
    <x:row r="49" ht="22.5" customHeight="1">
      <x:c r="A49" s="3" t="s">
        <x:v>721</x:v>
      </x:c>
      <x:c r="B49" s="3"/>
      <x:c r="C49" s="3"/>
      <x:c r="D49" s="3"/>
      <x:c r="E49" s="3"/>
      <x:c r="F49" s="3"/>
      <x:c r="G49" s="3"/>
    </x:row>
    <x:row r="50" ht="22.5" customHeight="1">
      <x:c r="A50" s="3" t="s">
        <x:v>722</x:v>
      </x:c>
      <x:c r="B50" s="3"/>
      <x:c r="C50" s="3"/>
      <x:c r="D50" s="3"/>
      <x:c r="E50" s="3"/>
      <x:c r="F50" s="3"/>
      <x:c r="G50" s="3"/>
    </x:row>
    <x:row r="51" ht="22.5" customHeight="1">
      <x:c r="A51" s="3" t="s">
        <x:v>723</x:v>
      </x:c>
      <x:c r="B51" s="3"/>
      <x:c r="C51" s="3"/>
      <x:c r="D51" s="3"/>
      <x:c r="E51" s="3"/>
      <x:c r="F51" s="3"/>
      <x:c r="G51" s="3"/>
    </x:row>
    <x:row r="52" ht="22.5" customHeight="1">
      <x:c r="A52" s="3" t="s">
        <x:v>724</x:v>
      </x:c>
      <x:c r="B52" s="3"/>
      <x:c r="C52" s="3"/>
      <x:c r="D52" s="3"/>
      <x:c r="E52" s="3"/>
      <x:c r="F52" s="3"/>
      <x:c r="G52" s="3"/>
    </x:row>
    <x:row r="53" ht="22.5" customHeight="1">
      <x:c r="A53" s="3" t="s">
        <x:v>725</x:v>
      </x:c>
      <x:c r="B53" s="3"/>
      <x:c r="C53" s="3"/>
      <x:c r="D53" s="3"/>
      <x:c r="E53" s="3"/>
      <x:c r="F53" s="3"/>
      <x:c r="G53" s="3"/>
    </x:row>
    <x:row r="54" ht="22.5" customHeight="1">
      <x:c r="A54" s="3" t="s">
        <x:v>726</x:v>
      </x:c>
      <x:c r="B54" s="3"/>
      <x:c r="C54" s="3"/>
      <x:c r="D54" s="3"/>
      <x:c r="E54" s="3"/>
      <x:c r="F54" s="3"/>
      <x:c r="G54" s="3"/>
    </x:row>
    <x:row r="55" ht="22.5" customHeight="1">
      <x:c r="A55" s="3" t="s">
        <x:v>727</x:v>
      </x:c>
      <x:c r="B55" s="3"/>
      <x:c r="C55" s="3"/>
      <x:c r="D55" s="3"/>
      <x:c r="E55" s="3"/>
      <x:c r="F55" s="3"/>
      <x:c r="G55" s="3"/>
    </x:row>
    <x:row r="56" ht="22.5" customHeight="1">
      <x:c r="A56" s="3" t="s">
        <x:v>728</x:v>
      </x:c>
      <x:c r="B56" s="3"/>
      <x:c r="C56" s="3"/>
      <x:c r="D56" s="3"/>
      <x:c r="E56" s="3"/>
      <x:c r="F56" s="3"/>
      <x:c r="G56" s="3"/>
    </x:row>
    <x:row r="57" ht="27" customHeight="1">
      <x:c r="A57" s="4" t="s">
        <x:v>421</x:v>
      </x:c>
      <x:c r="B57" s="4"/>
      <x:c r="C57" s="4"/>
      <x:c r="D57" s="4"/>
      <x:c r="E57" s="4"/>
      <x:c r="F57" s="4"/>
      <x:c r="G57" s="4"/>
    </x:row>
    <x:row r="58" ht="22.5" customHeight="1">
      <x:c r="A58" s="10" t="s">
        <x:v>729</x:v>
      </x:c>
      <x:c r="B58" s="10"/>
      <x:c r="C58" s="10"/>
      <x:c r="D58" s="10"/>
      <x:c r="E58" s="10"/>
      <x:c r="F58" s="10"/>
      <x:c r="G58" s="10"/>
    </x:row>
    <x:row r="59" ht="22.5" customHeight="1">
      <x:c r="A59" s="3" t="s">
        <x:v>730</x:v>
      </x:c>
      <x:c r="B59" s="3"/>
      <x:c r="C59" s="3"/>
      <x:c r="D59" s="3"/>
      <x:c r="E59" s="3"/>
      <x:c r="F59" s="3"/>
      <x:c r="G59" s="3"/>
    </x:row>
    <x:row r="60" ht="22.5" customHeight="1">
      <x:c r="A60" s="3" t="s">
        <x:v>731</x:v>
      </x:c>
      <x:c r="B60" s="3"/>
      <x:c r="C60" s="3"/>
      <x:c r="D60" s="3"/>
      <x:c r="E60" s="3"/>
      <x:c r="F60" s="3"/>
      <x:c r="G60" s="3"/>
    </x:row>
    <x:row r="61" ht="22.5" customHeight="1">
      <x:c r="A61" s="3" t="s">
        <x:v>732</x:v>
      </x:c>
      <x:c r="B61" s="3"/>
      <x:c r="C61" s="3"/>
      <x:c r="D61" s="3"/>
      <x:c r="E61" s="3"/>
      <x:c r="F61" s="3"/>
      <x:c r="G61" s="3"/>
    </x:row>
    <x:row r="62" ht="22.5" customHeight="1">
      <x:c r="A62" s="3" t="s">
        <x:v>733</x:v>
      </x:c>
      <x:c r="B62" s="3"/>
      <x:c r="C62" s="3"/>
      <x:c r="D62" s="3"/>
      <x:c r="E62" s="3"/>
      <x:c r="F62" s="3"/>
      <x:c r="G62" s="3"/>
    </x:row>
    <x:row r="63" ht="22.5" customHeight="1">
      <x:c r="A63" s="3" t="s">
        <x:v>734</x:v>
      </x:c>
      <x:c r="B63" s="3"/>
      <x:c r="C63" s="3"/>
      <x:c r="D63" s="3"/>
      <x:c r="E63" s="3"/>
      <x:c r="F63" s="3"/>
      <x:c r="G63" s="3"/>
    </x:row>
    <x:row r="64" ht="22.5" customHeight="1">
      <x:c r="A64" s="3" t="s">
        <x:v>735</x:v>
      </x:c>
      <x:c r="B64" s="3"/>
      <x:c r="C64" s="3"/>
      <x:c r="D64" s="3"/>
      <x:c r="E64" s="3"/>
      <x:c r="F64" s="3"/>
      <x:c r="G64" s="3"/>
    </x:row>
    <x:row r="65" ht="22.5" customHeight="1">
      <x:c r="A65" s="3" t="s">
        <x:v>736</x:v>
      </x:c>
      <x:c r="B65" s="3"/>
      <x:c r="C65" s="3"/>
      <x:c r="D65" s="3"/>
      <x:c r="E65" s="3"/>
      <x:c r="F65" s="3"/>
      <x:c r="G65" s="3"/>
    </x:row>
    <x:row r="66" ht="22.5" customHeight="1">
      <x:c r="A66" s="3" t="s">
        <x:v>737</x:v>
      </x:c>
      <x:c r="B66" s="3"/>
      <x:c r="C66" s="3"/>
      <x:c r="D66" s="3"/>
      <x:c r="E66" s="3"/>
      <x:c r="F66" s="3"/>
      <x:c r="G66" s="3"/>
    </x:row>
    <x:row r="67" ht="22.5" customHeight="1">
      <x:c r="A67" s="3" t="s">
        <x:v>738</x:v>
      </x:c>
      <x:c r="B67" s="3"/>
      <x:c r="C67" s="3"/>
      <x:c r="D67" s="3"/>
      <x:c r="E67" s="3"/>
      <x:c r="F67" s="3"/>
      <x:c r="G67" s="3"/>
    </x:row>
    <x:row r="68" ht="22.5" customHeight="1">
      <x:c r="A68" s="3" t="s">
        <x:v>739</x:v>
      </x:c>
      <x:c r="B68" s="3"/>
      <x:c r="C68" s="3"/>
      <x:c r="D68" s="3"/>
      <x:c r="E68" s="3"/>
      <x:c r="F68" s="3"/>
      <x:c r="G68" s="3"/>
    </x:row>
    <x:row r="69" ht="22.5" customHeight="1">
      <x:c r="A69" s="3" t="s">
        <x:v>740</x:v>
      </x:c>
      <x:c r="B69" s="3"/>
      <x:c r="C69" s="3"/>
      <x:c r="D69" s="3"/>
      <x:c r="E69" s="3"/>
      <x:c r="F69" s="3"/>
      <x:c r="G69" s="3"/>
    </x:row>
    <x:row r="70" ht="22.5" customHeight="1">
      <x:c r="A70" s="3" t="s">
        <x:v>741</x:v>
      </x:c>
      <x:c r="B70" s="3"/>
      <x:c r="C70" s="3"/>
      <x:c r="D70" s="3"/>
      <x:c r="E70" s="3"/>
      <x:c r="F70" s="3"/>
      <x:c r="G70" s="3"/>
    </x:row>
    <x:row r="71" ht="22.5" customHeight="1">
      <x:c r="A71" s="3" t="s">
        <x:v>742</x:v>
      </x:c>
      <x:c r="B71" s="3"/>
      <x:c r="C71" s="3"/>
      <x:c r="D71" s="3"/>
      <x:c r="E71" s="3"/>
      <x:c r="F71" s="3"/>
      <x:c r="G71" s="3"/>
    </x:row>
    <x:row r="72" ht="22.5" customHeight="1">
      <x:c r="A72" s="3" t="s">
        <x:v>743</x:v>
      </x:c>
      <x:c r="B72" s="3"/>
      <x:c r="C72" s="3"/>
      <x:c r="D72" s="3"/>
      <x:c r="E72" s="3"/>
      <x:c r="F72" s="3"/>
      <x:c r="G72" s="3"/>
    </x:row>
    <x:row r="73" ht="22.5" customHeight="1">
      <x:c r="A73" s="3" t="s">
        <x:v>744</x:v>
      </x:c>
      <x:c r="B73" s="3"/>
      <x:c r="C73" s="3"/>
      <x:c r="D73" s="3"/>
      <x:c r="E73" s="3"/>
      <x:c r="F73" s="3"/>
      <x:c r="G73" s="3"/>
    </x:row>
    <x:row r="74" ht="22.5" customHeight="1">
      <x:c r="A74" s="3" t="s">
        <x:v>668</x:v>
      </x:c>
      <x:c r="B74" s="3"/>
      <x:c r="C74" s="3"/>
      <x:c r="D74" s="3"/>
      <x:c r="E74" s="3"/>
      <x:c r="F74" s="3"/>
      <x:c r="G74" s="3"/>
    </x:row>
    <x:row r="75" ht="22.5" customHeight="1">
      <x:c r="A75" s="3" t="s">
        <x:v>669</x:v>
      </x:c>
      <x:c r="B75" s="3"/>
      <x:c r="C75" s="3"/>
      <x:c r="D75" s="3"/>
      <x:c r="E75" s="3"/>
      <x:c r="F75" s="3"/>
      <x:c r="G75" s="3"/>
    </x:row>
    <x:row r="76" ht="21.75" customHeight="1">
      <x:c r="A76" s="2"/>
      <x:c r="B76" s="2"/>
      <x:c r="C76" s="2"/>
      <x:c r="D76" s="2"/>
      <x:c r="E76" s="2"/>
      <x:c r="F76" s="2"/>
      <x:c r="G76" s="2"/>
    </x:row>
    <x:row r="77" ht="21.75" customHeight="1">
      <x:c r="A77" s="6" t="s">
        <x:v>380</x:v>
      </x:c>
      <x:c r="B77" s="2"/>
      <x:c r="C77" s="2"/>
      <x:c r="D77" s="2"/>
      <x:c r="E77" s="2"/>
      <x:c r="F77" s="2"/>
      <x:c r="G77" s="2"/>
    </x:row>
    <x:row r="78" ht="22.5" customHeight="1">
      <x:c r="A78" s="3" t="s">
        <x:v>745</x:v>
      </x:c>
      <x:c r="B78" s="3"/>
      <x:c r="C78" s="3"/>
      <x:c r="D78" s="3"/>
      <x:c r="E78" s="3"/>
      <x:c r="F78" s="3"/>
      <x:c r="G78" s="3"/>
    </x:row>
    <x:row r="79" ht="22.5" customHeight="1">
      <x:c r="A79" s="3" t="s">
        <x:v>746</x:v>
      </x:c>
      <x:c r="B79" s="3"/>
      <x:c r="C79" s="3"/>
      <x:c r="D79" s="3"/>
      <x:c r="E79" s="3"/>
      <x:c r="F79" s="3"/>
      <x:c r="G79" s="3"/>
    </x:row>
    <x:row r="80" ht="21.75" customHeight="1"/>
    <x:row r="81" ht="21.75" customHeight="1"/>
    <x:row r="82" ht="21.75" customHeight="1"/>
    <x:row r="83" ht="21.75" customHeight="1"/>
    <x:row r="84" ht="21.75" customHeight="1"/>
    <x:row r="85" ht="21.75" customHeight="1"/>
    <x:row r="86" ht="21.75" customHeight="1"/>
    <x:row r="87" ht="21.75" customHeight="1"/>
    <x:row r="88" ht="21.75" customHeight="1"/>
    <x:row r="89" ht="21.75" customHeight="1"/>
    <x:row r="90" ht="21.75" customHeight="1"/>
    <x:row r="91" ht="21.75" customHeight="1"/>
    <x:row r="92" ht="21.75" customHeight="1"/>
    <x:row r="93" ht="21.75" customHeight="1"/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21.75" customHeight="1"/>
    <x:row r="277" ht="21.75" customHeight="1"/>
    <x:row r="278" ht="21.75" customHeight="1"/>
    <x:row r="279" ht="21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77" location="'С06_Расписание'!A1"/>
  </x:hyperlink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7" customWidth="1"/>
    <x:col min="2" max="2" width="31" customWidth="1"/>
    <x:col min="3" max="5" width="27" customWidth="1"/>
    <x:col min="6" max="6" width="29" customWidth="1"/>
    <x:col min="7" max="26" width="8.630000114440918" customWidth="1"/>
  </x:cols>
  <x:sheetData>
    <x:row r="1" ht="28.5" customHeight="1">
      <x:c r="A1" s="1" t="s">
        <x:v>747</x:v>
      </x:c>
      <x:c r="B1" s="1"/>
      <x:c r="C1" s="1"/>
      <x:c r="D1" s="1"/>
      <x:c r="E1" s="1"/>
      <x:c r="F1" s="1"/>
    </x:row>
    <x:row r="2" ht="21.75" customHeight="1">
      <x:c r="A2" s="2"/>
      <x:c r="B2" s="2"/>
      <x:c r="C2" s="2"/>
      <x:c r="D2" s="2"/>
      <x:c r="E2" s="2"/>
      <x:c r="F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  <x:c r="F3" s="2"/>
    </x:row>
    <x:row r="4" ht="21.75" customHeight="1">
      <x:c r="A4" s="6" t="s">
        <x:v>748</x:v>
      </x:c>
      <x:c r="B4" s="2"/>
      <x:c r="C4" s="2"/>
      <x:c r="D4" s="2"/>
      <x:c r="E4" s="2"/>
      <x:c r="F4" s="2"/>
    </x:row>
    <x:row r="5" ht="22.5" customHeight="1">
      <x:c r="A5" s="10" t="s">
        <x:v>749</x:v>
      </x:c>
      <x:c r="B5" s="10"/>
      <x:c r="C5" s="10"/>
      <x:c r="D5" s="10"/>
      <x:c r="E5" s="10"/>
      <x:c r="F5" s="10"/>
    </x:row>
    <x:row r="6" ht="22.5" customHeight="1">
      <x:c r="A6" s="3" t="s">
        <x:v>750</x:v>
      </x:c>
      <x:c r="B6" s="3"/>
      <x:c r="C6" s="3"/>
      <x:c r="D6" s="3"/>
      <x:c r="E6" s="3"/>
      <x:c r="F6" s="3"/>
    </x:row>
    <x:row r="7" ht="22.5" customHeight="1">
      <x:c r="A7" s="3" t="s">
        <x:v>751</x:v>
      </x:c>
      <x:c r="B7" s="3"/>
      <x:c r="C7" s="3"/>
      <x:c r="D7" s="3"/>
      <x:c r="E7" s="3"/>
      <x:c r="F7" s="3"/>
    </x:row>
    <x:row r="8" ht="22.5" customHeight="1">
      <x:c r="A8" s="3" t="s">
        <x:v>752</x:v>
      </x:c>
      <x:c r="B8" s="3"/>
      <x:c r="C8" s="3"/>
      <x:c r="D8" s="3"/>
      <x:c r="E8" s="3"/>
      <x:c r="F8" s="3"/>
    </x:row>
    <x:row r="9" ht="22.5" customHeight="1">
      <x:c r="A9" s="3" t="s">
        <x:v>753</x:v>
      </x:c>
      <x:c r="B9" s="3"/>
      <x:c r="C9" s="3"/>
      <x:c r="D9" s="3"/>
      <x:c r="E9" s="3"/>
      <x:c r="F9" s="3"/>
    </x:row>
    <x:row r="10" ht="22.5" customHeight="1">
      <x:c r="A10" s="3" t="s">
        <x:v>754</x:v>
      </x:c>
      <x:c r="B10" s="3"/>
      <x:c r="C10" s="3"/>
      <x:c r="D10" s="3"/>
      <x:c r="E10" s="3"/>
      <x:c r="F10" s="3"/>
    </x:row>
    <x:row r="11" ht="22.5" customHeight="1">
      <x:c r="A11" s="3" t="s">
        <x:v>755</x:v>
      </x:c>
      <x:c r="B11" s="3"/>
      <x:c r="C11" s="3"/>
      <x:c r="D11" s="3"/>
      <x:c r="E11" s="3"/>
      <x:c r="F11" s="3"/>
    </x:row>
    <x:row r="12" ht="22.5" customHeight="1">
      <x:c r="A12" s="3" t="s">
        <x:v>756</x:v>
      </x:c>
      <x:c r="B12" s="3"/>
      <x:c r="C12" s="3"/>
      <x:c r="D12" s="3"/>
      <x:c r="E12" s="3"/>
      <x:c r="F12" s="3"/>
    </x:row>
    <x:row r="13" ht="22.5" customHeight="1">
      <x:c r="A13" s="3" t="s">
        <x:v>757</x:v>
      </x:c>
      <x:c r="B13" s="3"/>
      <x:c r="C13" s="3"/>
      <x:c r="D13" s="3"/>
      <x:c r="E13" s="3"/>
      <x:c r="F13" s="3"/>
    </x:row>
    <x:row r="14" ht="22.5" customHeight="1">
      <x:c r="A14" s="3" t="s">
        <x:v>758</x:v>
      </x:c>
      <x:c r="B14" s="3"/>
      <x:c r="C14" s="3"/>
      <x:c r="D14" s="3"/>
      <x:c r="E14" s="3"/>
      <x:c r="F14" s="3"/>
    </x:row>
    <x:row r="15" ht="22.5" customHeight="1">
      <x:c r="A15" s="3" t="s">
        <x:v>245</x:v>
      </x:c>
      <x:c r="B15" s="3"/>
      <x:c r="C15" s="3"/>
      <x:c r="D15" s="3"/>
      <x:c r="E15" s="3"/>
      <x:c r="F15" s="3"/>
    </x:row>
    <x:row r="16" ht="27" customHeight="1">
      <x:c r="A16" s="4" t="s">
        <x:v>759</x:v>
      </x:c>
      <x:c r="B16" s="4"/>
      <x:c r="C16" s="4"/>
      <x:c r="D16" s="4"/>
      <x:c r="E16" s="4"/>
      <x:c r="F16" s="4"/>
    </x:row>
    <x:row r="17" ht="48.75" customHeight="1">
      <x:c r="A17" s="5" t="s">
        <x:v>760</x:v>
      </x:c>
      <x:c r="B17" s="5" t="s">
        <x:v>761</x:v>
      </x:c>
      <x:c r="C17" s="5" t="s">
        <x:v>762</x:v>
      </x:c>
      <x:c r="D17" s="5" t="s">
        <x:v>763</x:v>
      </x:c>
      <x:c r="E17" s="2"/>
      <x:c r="F17" s="2"/>
    </x:row>
    <x:row r="18" ht="79.5" customHeight="1">
      <x:c r="A18" s="7" t="s">
        <x:v>764</x:v>
      </x:c>
      <x:c r="B18" s="28" t="s">
        <x:v>765</x:v>
      </x:c>
      <x:c r="C18" s="31" t="n">
        <x:f>IF(COUNT(B83:B86)&lt;4,"",IFERROR(B84-B83,""))</x:f>
        <x:v>-0.3999999999999999</x:v>
      </x:c>
      <x:c r="D18" s="16"/>
      <x:c r="E18" s="2"/>
      <x:c r="F18" s="2"/>
    </x:row>
    <x:row r="19" ht="79.5" customHeight="1">
      <x:c r="A19" s="7" t="s">
        <x:v>766</x:v>
      </x:c>
      <x:c r="B19" s="28" t="s">
        <x:v>767</x:v>
      </x:c>
      <x:c r="C19" s="31" t="n">
        <x:f>IF(COUNT(B83:B86)&lt;4,"",IFERROR(B84-B85,""))</x:f>
        <x:v>-0.5</x:v>
      </x:c>
      <x:c r="D19" s="16"/>
      <x:c r="E19" s="2"/>
      <x:c r="F19" s="2"/>
    </x:row>
    <x:row r="20" ht="79.5" customHeight="1">
      <x:c r="A20" s="7" t="s">
        <x:v>768</x:v>
      </x:c>
      <x:c r="B20" s="28" t="s">
        <x:v>769</x:v>
      </x:c>
      <x:c r="C20" s="31" t="n">
        <x:f>IF(COUNT(B83:B86)&lt;4,"",IFERROR(B84/B83,""))</x:f>
        <x:v>0.8333333333333334</x:v>
      </x:c>
      <x:c r="D20" s="16"/>
      <x:c r="E20" s="2"/>
      <x:c r="F20" s="2"/>
    </x:row>
    <x:row r="21" ht="79.5" customHeight="1">
      <x:c r="A21" s="7" t="s">
        <x:v>770</x:v>
      </x:c>
      <x:c r="B21" s="28" t="s">
        <x:v>771</x:v>
      </x:c>
      <x:c r="C21" s="31" t="n">
        <x:f>IF(COUNT(B83:B86)&lt;4,"",IFERROR(B84/B85,""))</x:f>
        <x:v>0.8</x:v>
      </x:c>
      <x:c r="D21" s="16"/>
      <x:c r="E21" s="2"/>
      <x:c r="F21" s="2"/>
    </x:row>
    <x:row r="22" ht="79.5" customHeight="1">
      <x:c r="A22" s="7" t="s">
        <x:v>772</x:v>
      </x:c>
      <x:c r="B22" s="28" t="s">
        <x:v>773</x:v>
      </x:c>
      <x:c r="C22" s="31" t="n">
        <x:f>IF(COUNT(B83:B86)&lt;4,"",IFERROR(B85+B86-B84,""))</x:f>
        <x:v>5.3</x:v>
      </x:c>
      <x:c r="D22" s="16"/>
      <x:c r="E22" s="2"/>
      <x:c r="F22" s="2"/>
    </x:row>
    <x:row r="23" ht="79.5" customHeight="1">
      <x:c r="A23" s="7" t="s">
        <x:v>774</x:v>
      </x:c>
      <x:c r="B23" s="28" t="s">
        <x:v>775</x:v>
      </x:c>
      <x:c r="C23" s="31" t="n">
        <x:f>IF(COUNT(B83:B86)&lt;4,"",IFERROR(B86/(B84/B85),""))</x:f>
        <x:v>5.999999999999999</x:v>
      </x:c>
      <x:c r="D23" s="16"/>
      <x:c r="E23" s="2"/>
      <x:c r="F23" s="2"/>
    </x:row>
    <x:row r="24" ht="21.75" customHeight="1">
      <x:c r="A24" s="2"/>
      <x:c r="B24" s="2"/>
      <x:c r="C24" s="2"/>
      <x:c r="D24" s="2"/>
      <x:c r="E24" s="2"/>
      <x:c r="F24" s="2"/>
    </x:row>
    <x:row r="25" ht="21.75" customHeight="1">
      <x:c r="A25" s="2"/>
      <x:c r="B25" s="2"/>
      <x:c r="C25" s="2"/>
      <x:c r="D25" s="2"/>
      <x:c r="E25" s="2"/>
      <x:c r="F25" s="2"/>
    </x:row>
    <x:row r="26" ht="27" customHeight="1">
      <x:c r="A26" s="4" t="s">
        <x:v>776</x:v>
      </x:c>
      <x:c r="B26" s="4"/>
      <x:c r="C26" s="4"/>
      <x:c r="D26" s="4"/>
      <x:c r="E26" s="4"/>
      <x:c r="F26" s="4"/>
    </x:row>
    <x:row r="27" ht="48.75" customHeight="1">
      <x:c r="A27" s="5" t="s">
        <x:v>777</x:v>
      </x:c>
      <x:c r="B27" s="5" t="s">
        <x:v>778</x:v>
      </x:c>
      <x:c r="C27" s="5" t="s">
        <x:v>779</x:v>
      </x:c>
      <x:c r="D27" s="2"/>
      <x:c r="E27" s="2"/>
      <x:c r="F27" s="2"/>
    </x:row>
    <x:row r="28" ht="79.5" customHeight="1">
      <x:c r="A28" s="26" t="s">
        <x:v>780</x:v>
      </x:c>
      <x:c r="B28" s="16"/>
      <x:c r="C28" s="16"/>
      <x:c r="D28" s="2"/>
      <x:c r="E28" s="2"/>
      <x:c r="F28" s="2"/>
    </x:row>
    <x:row r="29" ht="79.5" customHeight="1">
      <x:c r="A29" s="26" t="s">
        <x:v>781</x:v>
      </x:c>
      <x:c r="B29" s="16"/>
      <x:c r="C29" s="16"/>
      <x:c r="D29" s="2"/>
      <x:c r="E29" s="2"/>
      <x:c r="F29" s="2"/>
    </x:row>
    <x:row r="30" ht="21.75" customHeight="1">
      <x:c r="A30" s="2"/>
      <x:c r="B30" s="2"/>
      <x:c r="C30" s="2"/>
      <x:c r="D30" s="2"/>
      <x:c r="E30" s="2"/>
      <x:c r="F30" s="2"/>
    </x:row>
    <x:row r="31" ht="21.75" customHeight="1">
      <x:c r="A31" s="2"/>
      <x:c r="B31" s="2"/>
      <x:c r="C31" s="2"/>
      <x:c r="D31" s="2"/>
      <x:c r="E31" s="2"/>
      <x:c r="F31" s="2"/>
    </x:row>
    <x:row r="32" ht="27" customHeight="1">
      <x:c r="A32" s="4" t="s">
        <x:v>782</x:v>
      </x:c>
      <x:c r="B32" s="4"/>
      <x:c r="C32" s="4"/>
      <x:c r="D32" s="4"/>
      <x:c r="E32" s="4"/>
      <x:c r="F32" s="4"/>
    </x:row>
    <x:row r="33" ht="48.75" customHeight="1">
      <x:c r="A33" s="5" t="s">
        <x:v>452</x:v>
      </x:c>
      <x:c r="B33" s="5" t="s">
        <x:v>783</x:v>
      </x:c>
      <x:c r="C33" s="5" t="s">
        <x:v>784</x:v>
      </x:c>
      <x:c r="D33" s="5" t="s">
        <x:v>785</x:v>
      </x:c>
      <x:c r="E33" s="5" t="s">
        <x:v>626</x:v>
      </x:c>
      <x:c r="F33" s="5" t="s">
        <x:v>786</x:v>
      </x:c>
    </x:row>
    <x:row r="34" ht="79.5" customHeight="1">
      <x:c r="A34" s="7" t="s">
        <x:v>787</x:v>
      </x:c>
      <x:c r="B34" s="31" t="n">
        <x:f t="shared" ref="B34:B37" si="1">IF(COUNT(B97:E97)&lt;4,"",SUM(B97:E97))</x:f>
        <x:v>1.75</x:v>
      </x:c>
      <x:c r="C34" s="31" t="n">
        <x:f>IF(OR(F97="",B91=""),"",F97*B91)</x:f>
        <x:v>0.96</x:v>
      </x:c>
      <x:c r="D34" s="31" t="n">
        <x:f t="shared" ref="D34:D37" si="2">IF(OR(B34="",C34=""),"",B34+C34)</x:f>
        <x:v>2.71</x:v>
      </x:c>
      <x:c r="E34" s="30" t="n">
        <x:f t="shared" ref="E34:E37" si="3">IF(F97="","",F97)</x:f>
        <x:v>8</x:v>
      </x:c>
      <x:c r="F34" s="16"/>
    </x:row>
    <x:row r="35" ht="79.5" customHeight="1">
      <x:c r="A35" s="7" t="s">
        <x:v>788</x:v>
      </x:c>
      <x:c r="B35" s="31">
        <x:f t="shared" si="1"/>
        <x:v>2.17</x:v>
      </x:c>
      <x:c r="C35" s="31" t="n">
        <x:f>IF(OR(F98="",B91=""),"",F98*B91)</x:f>
        <x:v>0.6</x:v>
      </x:c>
      <x:c r="D35" s="31">
        <x:f t="shared" si="2"/>
        <x:v>2.77</x:v>
      </x:c>
      <x:c r="E35" s="30">
        <x:f t="shared" si="3"/>
        <x:v>5</x:v>
      </x:c>
      <x:c r="F35" s="16"/>
    </x:row>
    <x:row r="36" ht="79.5" customHeight="1">
      <x:c r="A36" s="7" t="s">
        <x:v>789</x:v>
      </x:c>
      <x:c r="B36" s="31">
        <x:f t="shared" si="1"/>
        <x:v>2.02</x:v>
      </x:c>
      <x:c r="C36" s="31" t="n">
        <x:f>IF(OR(F99="",B91=""),"",F99*B91)</x:f>
        <x:v>0.6</x:v>
      </x:c>
      <x:c r="D36" s="31">
        <x:f t="shared" si="2"/>
        <x:v>2.62</x:v>
      </x:c>
      <x:c r="E36" s="30">
        <x:f t="shared" si="3"/>
        <x:v>5</x:v>
      </x:c>
      <x:c r="F36" s="16"/>
    </x:row>
    <x:row r="37" ht="79.5" customHeight="1">
      <x:c r="A37" s="7" t="s">
        <x:v>790</x:v>
      </x:c>
      <x:c r="B37" s="31">
        <x:f t="shared" si="1"/>
        <x:v>2.32</x:v>
      </x:c>
      <x:c r="C37" s="31" t="n">
        <x:f>IF(OR(F100="",B91=""),"",F100*B91)</x:f>
        <x:v>0.6</x:v>
      </x:c>
      <x:c r="D37" s="31">
        <x:f t="shared" si="2"/>
        <x:v>2.92</x:v>
      </x:c>
      <x:c r="E37" s="30">
        <x:f t="shared" si="3"/>
        <x:v>5</x:v>
      </x:c>
      <x:c r="F37" s="16"/>
    </x:row>
    <x:row r="38" ht="21.75" customHeight="1">
      <x:c r="A38" s="2"/>
      <x:c r="B38" s="2"/>
      <x:c r="C38" s="2"/>
      <x:c r="D38" s="2"/>
      <x:c r="E38" s="2"/>
      <x:c r="F38" s="2"/>
    </x:row>
    <x:row r="39" ht="21.75" customHeight="1">
      <x:c r="A39" s="2"/>
      <x:c r="B39" s="2"/>
      <x:c r="C39" s="2"/>
      <x:c r="D39" s="2"/>
      <x:c r="E39" s="2"/>
      <x:c r="F39" s="2"/>
    </x:row>
    <x:row r="40" ht="27" customHeight="1">
      <x:c r="A40" s="4" t="s">
        <x:v>791</x:v>
      </x:c>
      <x:c r="B40" s="4"/>
      <x:c r="C40" s="4"/>
      <x:c r="D40" s="4"/>
      <x:c r="E40" s="4"/>
      <x:c r="F40" s="4"/>
    </x:row>
    <x:row r="41" ht="48.75" customHeight="1">
      <x:c r="A41" s="5" t="s">
        <x:v>452</x:v>
      </x:c>
      <x:c r="B41" s="5" t="s">
        <x:v>792</x:v>
      </x:c>
      <x:c r="C41" s="5" t="s">
        <x:v>793</x:v>
      </x:c>
      <x:c r="D41" s="5" t="s">
        <x:v>794</x:v>
      </x:c>
      <x:c r="E41" s="2"/>
      <x:c r="F41" s="2"/>
    </x:row>
    <x:row r="42" ht="79.5" customHeight="1">
      <x:c r="A42" s="16"/>
      <x:c r="B42" s="16"/>
      <x:c r="C42" s="16"/>
      <x:c r="D42" s="16"/>
      <x:c r="E42" s="2"/>
      <x:c r="F42" s="2"/>
    </x:row>
    <x:row r="43" ht="21.75" customHeight="1">
      <x:c r="A43" s="2"/>
      <x:c r="B43" s="2"/>
      <x:c r="C43" s="2"/>
      <x:c r="D43" s="2"/>
      <x:c r="E43" s="2"/>
      <x:c r="F43" s="2"/>
    </x:row>
    <x:row r="44" ht="21.75" customHeight="1">
      <x:c r="A44" s="2"/>
      <x:c r="B44" s="2"/>
      <x:c r="C44" s="2"/>
      <x:c r="D44" s="2"/>
      <x:c r="E44" s="2"/>
      <x:c r="F44" s="2"/>
    </x:row>
    <x:row r="45" ht="27" customHeight="1">
      <x:c r="A45" s="4" t="s">
        <x:v>278</x:v>
      </x:c>
      <x:c r="B45" s="4"/>
      <x:c r="C45" s="4"/>
      <x:c r="D45" s="4"/>
      <x:c r="E45" s="4"/>
      <x:c r="F45" s="4"/>
    </x:row>
    <x:row r="46" ht="22.5" customHeight="1">
      <x:c r="A46" s="3" t="s">
        <x:v>795</x:v>
      </x:c>
      <x:c r="B46" s="3"/>
      <x:c r="C46" s="3"/>
      <x:c r="D46" s="3"/>
      <x:c r="E46" s="3"/>
      <x:c r="F46" s="3"/>
    </x:row>
    <x:row r="47" ht="22.5" customHeight="1">
      <x:c r="A47" s="3" t="s">
        <x:v>796</x:v>
      </x:c>
      <x:c r="B47" s="3"/>
      <x:c r="C47" s="3"/>
      <x:c r="D47" s="3"/>
      <x:c r="E47" s="3"/>
      <x:c r="F47" s="3"/>
    </x:row>
    <x:row r="48" ht="22.5" customHeight="1">
      <x:c r="A48" s="3" t="s">
        <x:v>797</x:v>
      </x:c>
      <x:c r="B48" s="3"/>
      <x:c r="C48" s="3"/>
      <x:c r="D48" s="3"/>
      <x:c r="E48" s="3"/>
      <x:c r="F48" s="3"/>
    </x:row>
    <x:row r="49" ht="22.5" customHeight="1">
      <x:c r="A49" s="3" t="s">
        <x:v>798</x:v>
      </x:c>
      <x:c r="B49" s="3"/>
      <x:c r="C49" s="3"/>
      <x:c r="D49" s="3"/>
      <x:c r="E49" s="3"/>
      <x:c r="F49" s="3"/>
    </x:row>
    <x:row r="50" ht="22.5" customHeight="1">
      <x:c r="A50" s="3" t="s">
        <x:v>799</x:v>
      </x:c>
      <x:c r="B50" s="3"/>
      <x:c r="C50" s="3"/>
      <x:c r="D50" s="3"/>
      <x:c r="E50" s="3"/>
      <x:c r="F50" s="3"/>
    </x:row>
    <x:row r="51" ht="22.5" customHeight="1">
      <x:c r="A51" s="3" t="s">
        <x:v>800</x:v>
      </x:c>
      <x:c r="B51" s="3"/>
      <x:c r="C51" s="3"/>
      <x:c r="D51" s="3"/>
      <x:c r="E51" s="3"/>
      <x:c r="F51" s="3"/>
    </x:row>
    <x:row r="52" ht="22.5" customHeight="1">
      <x:c r="A52" s="3" t="s">
        <x:v>801</x:v>
      </x:c>
      <x:c r="B52" s="3"/>
      <x:c r="C52" s="3"/>
      <x:c r="D52" s="3"/>
      <x:c r="E52" s="3"/>
      <x:c r="F52" s="3"/>
    </x:row>
    <x:row r="53" ht="22.5" customHeight="1">
      <x:c r="A53" s="3" t="s">
        <x:v>802</x:v>
      </x:c>
      <x:c r="B53" s="3"/>
      <x:c r="C53" s="3"/>
      <x:c r="D53" s="3"/>
      <x:c r="E53" s="3"/>
      <x:c r="F53" s="3"/>
    </x:row>
    <x:row r="54" ht="22.5" customHeight="1">
      <x:c r="A54" s="3" t="s">
        <x:v>803</x:v>
      </x:c>
      <x:c r="B54" s="3"/>
      <x:c r="C54" s="3"/>
      <x:c r="D54" s="3"/>
      <x:c r="E54" s="3"/>
      <x:c r="F54" s="3"/>
    </x:row>
    <x:row r="55" ht="22.5" customHeight="1">
      <x:c r="A55" s="3" t="s">
        <x:v>804</x:v>
      </x:c>
      <x:c r="B55" s="3"/>
      <x:c r="C55" s="3"/>
      <x:c r="D55" s="3"/>
      <x:c r="E55" s="3"/>
      <x:c r="F55" s="3"/>
    </x:row>
    <x:row r="56" ht="22.5" customHeight="1">
      <x:c r="A56" s="3" t="s">
        <x:v>805</x:v>
      </x:c>
      <x:c r="B56" s="3"/>
      <x:c r="C56" s="3"/>
      <x:c r="D56" s="3"/>
      <x:c r="E56" s="3"/>
      <x:c r="F56" s="3"/>
    </x:row>
    <x:row r="57" ht="22.5" customHeight="1">
      <x:c r="A57" s="3" t="s">
        <x:v>806</x:v>
      </x:c>
      <x:c r="B57" s="3"/>
      <x:c r="C57" s="3"/>
      <x:c r="D57" s="3"/>
      <x:c r="E57" s="3"/>
      <x:c r="F57" s="3"/>
    </x:row>
    <x:row r="58" ht="22.5" customHeight="1">
      <x:c r="A58" s="3" t="s">
        <x:v>807</x:v>
      </x:c>
      <x:c r="B58" s="3"/>
      <x:c r="C58" s="3"/>
      <x:c r="D58" s="3"/>
      <x:c r="E58" s="3"/>
      <x:c r="F58" s="3"/>
    </x:row>
    <x:row r="59" ht="22.5" customHeight="1">
      <x:c r="A59" s="3" t="s">
        <x:v>808</x:v>
      </x:c>
      <x:c r="B59" s="3"/>
      <x:c r="C59" s="3"/>
      <x:c r="D59" s="3"/>
      <x:c r="E59" s="3"/>
      <x:c r="F59" s="3"/>
    </x:row>
    <x:row r="60" ht="22.5" customHeight="1">
      <x:c r="A60" s="3" t="s">
        <x:v>809</x:v>
      </x:c>
      <x:c r="B60" s="3"/>
      <x:c r="C60" s="3"/>
      <x:c r="D60" s="3"/>
      <x:c r="E60" s="3"/>
      <x:c r="F60" s="3"/>
    </x:row>
    <x:row r="61" ht="27" customHeight="1">
      <x:c r="A61" s="4" t="s">
        <x:v>421</x:v>
      </x:c>
      <x:c r="B61" s="4"/>
      <x:c r="C61" s="4"/>
      <x:c r="D61" s="4"/>
      <x:c r="E61" s="4"/>
      <x:c r="F61" s="4"/>
    </x:row>
    <x:row r="62" ht="22.5" customHeight="1">
      <x:c r="A62" s="10" t="s">
        <x:v>810</x:v>
      </x:c>
      <x:c r="B62" s="10"/>
      <x:c r="C62" s="10"/>
      <x:c r="D62" s="10"/>
      <x:c r="E62" s="10"/>
      <x:c r="F62" s="10"/>
    </x:row>
    <x:row r="63" ht="22.5" customHeight="1">
      <x:c r="A63" s="3" t="s">
        <x:v>811</x:v>
      </x:c>
      <x:c r="B63" s="3"/>
      <x:c r="C63" s="3"/>
      <x:c r="D63" s="3"/>
      <x:c r="E63" s="3"/>
      <x:c r="F63" s="3"/>
    </x:row>
    <x:row r="64" ht="22.5" customHeight="1">
      <x:c r="A64" s="3" t="s">
        <x:v>812</x:v>
      </x:c>
      <x:c r="B64" s="3"/>
      <x:c r="C64" s="3"/>
      <x:c r="D64" s="3"/>
      <x:c r="E64" s="3"/>
      <x:c r="F64" s="3"/>
    </x:row>
    <x:row r="65" ht="22.5" customHeight="1">
      <x:c r="A65" s="3" t="s">
        <x:v>813</x:v>
      </x:c>
      <x:c r="B65" s="3"/>
      <x:c r="C65" s="3"/>
      <x:c r="D65" s="3"/>
      <x:c r="E65" s="3"/>
      <x:c r="F65" s="3"/>
    </x:row>
    <x:row r="66" ht="22.5" customHeight="1">
      <x:c r="A66" s="3" t="s">
        <x:v>814</x:v>
      </x:c>
      <x:c r="B66" s="3"/>
      <x:c r="C66" s="3"/>
      <x:c r="D66" s="3"/>
      <x:c r="E66" s="3"/>
      <x:c r="F66" s="3"/>
    </x:row>
    <x:row r="67" ht="22.5" customHeight="1">
      <x:c r="A67" s="3" t="s">
        <x:v>815</x:v>
      </x:c>
      <x:c r="B67" s="3"/>
      <x:c r="C67" s="3"/>
      <x:c r="D67" s="3"/>
      <x:c r="E67" s="3"/>
      <x:c r="F67" s="3"/>
    </x:row>
    <x:row r="68" ht="22.5" customHeight="1">
      <x:c r="A68" s="3" t="s">
        <x:v>816</x:v>
      </x:c>
      <x:c r="B68" s="3"/>
      <x:c r="C68" s="3"/>
      <x:c r="D68" s="3"/>
      <x:c r="E68" s="3"/>
      <x:c r="F68" s="3"/>
    </x:row>
    <x:row r="69" ht="22.5" customHeight="1">
      <x:c r="A69" s="10" t="s">
        <x:v>817</x:v>
      </x:c>
      <x:c r="B69" s="10"/>
      <x:c r="C69" s="10"/>
      <x:c r="D69" s="10"/>
      <x:c r="E69" s="10"/>
      <x:c r="F69" s="10"/>
    </x:row>
    <x:row r="70" ht="22.5" customHeight="1">
      <x:c r="A70" s="3" t="s">
        <x:v>818</x:v>
      </x:c>
      <x:c r="B70" s="3"/>
      <x:c r="C70" s="3"/>
      <x:c r="D70" s="3"/>
      <x:c r="E70" s="3"/>
      <x:c r="F70" s="3"/>
    </x:row>
    <x:row r="71" ht="22.5" customHeight="1">
      <x:c r="A71" s="3" t="s">
        <x:v>819</x:v>
      </x:c>
      <x:c r="B71" s="3"/>
      <x:c r="C71" s="3"/>
      <x:c r="D71" s="3"/>
      <x:c r="E71" s="3"/>
      <x:c r="F71" s="3"/>
    </x:row>
    <x:row r="72" ht="22.5" customHeight="1">
      <x:c r="A72" s="3" t="s">
        <x:v>820</x:v>
      </x:c>
      <x:c r="B72" s="3"/>
      <x:c r="C72" s="3"/>
      <x:c r="D72" s="3"/>
      <x:c r="E72" s="3"/>
      <x:c r="F72" s="3"/>
    </x:row>
    <x:row r="73" ht="22.5" customHeight="1">
      <x:c r="A73" s="3" t="s">
        <x:v>821</x:v>
      </x:c>
      <x:c r="B73" s="3"/>
      <x:c r="C73" s="3"/>
      <x:c r="D73" s="3"/>
      <x:c r="E73" s="3"/>
      <x:c r="F73" s="3"/>
    </x:row>
    <x:row r="74" ht="22.5" customHeight="1">
      <x:c r="A74" s="3" t="s">
        <x:v>822</x:v>
      </x:c>
      <x:c r="B74" s="3"/>
      <x:c r="C74" s="3"/>
      <x:c r="D74" s="3"/>
      <x:c r="E74" s="3"/>
      <x:c r="F74" s="3"/>
    </x:row>
    <x:row r="75" ht="22.5" customHeight="1">
      <x:c r="A75" s="3" t="s">
        <x:v>823</x:v>
      </x:c>
      <x:c r="B75" s="3"/>
      <x:c r="C75" s="3"/>
      <x:c r="D75" s="3"/>
      <x:c r="E75" s="3"/>
      <x:c r="F75" s="3"/>
    </x:row>
    <x:row r="76" ht="22.5" customHeight="1">
      <x:c r="A76" s="3" t="s">
        <x:v>824</x:v>
      </x:c>
      <x:c r="B76" s="3"/>
      <x:c r="C76" s="3"/>
      <x:c r="D76" s="3"/>
      <x:c r="E76" s="3"/>
      <x:c r="F76" s="3"/>
    </x:row>
    <x:row r="77" ht="22.5" customHeight="1">
      <x:c r="A77" s="3" t="s">
        <x:v>825</x:v>
      </x:c>
      <x:c r="B77" s="3"/>
      <x:c r="C77" s="3"/>
      <x:c r="D77" s="3"/>
      <x:c r="E77" s="3"/>
      <x:c r="F77" s="3"/>
    </x:row>
    <x:row r="78" ht="22.5" customHeight="1">
      <x:c r="A78" s="3" t="s">
        <x:v>826</x:v>
      </x:c>
      <x:c r="B78" s="3"/>
      <x:c r="C78" s="3"/>
      <x:c r="D78" s="3"/>
      <x:c r="E78" s="3"/>
      <x:c r="F78" s="3"/>
    </x:row>
    <x:row r="79" ht="22.5" customHeight="1">
      <x:c r="A79" s="3" t="s">
        <x:v>827</x:v>
      </x:c>
      <x:c r="B79" s="3"/>
      <x:c r="C79" s="3"/>
      <x:c r="D79" s="3"/>
      <x:c r="E79" s="3"/>
      <x:c r="F79" s="3"/>
    </x:row>
    <x:row r="80" ht="22.5" customHeight="1">
      <x:c r="A80" s="3" t="s">
        <x:v>302</x:v>
      </x:c>
      <x:c r="B80" s="3"/>
      <x:c r="C80" s="3"/>
      <x:c r="D80" s="3"/>
      <x:c r="E80" s="3"/>
      <x:c r="F80" s="3"/>
    </x:row>
    <x:row r="81" ht="27" customHeight="1">
      <x:c r="A81" s="4" t="s">
        <x:v>828</x:v>
      </x:c>
      <x:c r="B81" s="4"/>
      <x:c r="C81" s="4"/>
      <x:c r="D81" s="4"/>
      <x:c r="E81" s="4"/>
      <x:c r="F81" s="4"/>
    </x:row>
    <x:row r="82" ht="48.75" customHeight="1">
      <x:c r="A82" s="5" t="s">
        <x:v>829</x:v>
      </x:c>
      <x:c r="B82" s="5" t="s">
        <x:v>830</x:v>
      </x:c>
      <x:c r="C82" s="2"/>
      <x:c r="D82" s="2"/>
      <x:c r="E82" s="2"/>
      <x:c r="F82" s="2"/>
    </x:row>
    <x:row r="83" ht="37.5" customHeight="1">
      <x:c r="A83" s="15" t="s">
        <x:v>831</x:v>
      </x:c>
      <x:c r="B83" s="32">
        <x:v>2.4</x:v>
      </x:c>
      <x:c r="C83" s="2"/>
      <x:c r="D83" s="2"/>
      <x:c r="E83" s="2"/>
      <x:c r="F83" s="2"/>
    </x:row>
    <x:row r="84" ht="37.5" customHeight="1">
      <x:c r="A84" s="15" t="s">
        <x:v>832</x:v>
      </x:c>
      <x:c r="B84" s="32">
        <x:v>2.0</x:v>
      </x:c>
      <x:c r="C84" s="2"/>
      <x:c r="D84" s="2"/>
      <x:c r="E84" s="2"/>
      <x:c r="F84" s="2"/>
    </x:row>
    <x:row r="85" ht="37.5" customHeight="1">
      <x:c r="A85" s="15" t="s">
        <x:v>833</x:v>
      </x:c>
      <x:c r="B85" s="33">
        <x:v>2.5</x:v>
      </x:c>
      <x:c r="C85" s="2"/>
      <x:c r="D85" s="2"/>
      <x:c r="E85" s="2"/>
      <x:c r="F85" s="2"/>
    </x:row>
    <x:row r="86" ht="37.5" customHeight="1">
      <x:c r="A86" s="15" t="s">
        <x:v>834</x:v>
      </x:c>
      <x:c r="B86" s="32">
        <x:v>4.8</x:v>
      </x:c>
      <x:c r="C86" s="2"/>
      <x:c r="D86" s="2"/>
      <x:c r="E86" s="2"/>
      <x:c r="F86" s="2"/>
    </x:row>
    <x:row r="87" ht="21.75" customHeight="1">
      <x:c r="A87" s="2"/>
      <x:c r="B87" s="2"/>
      <x:c r="C87" s="2"/>
      <x:c r="D87" s="2"/>
      <x:c r="E87" s="2"/>
      <x:c r="F87" s="2"/>
    </x:row>
    <x:row r="88" ht="21.75" customHeight="1">
      <x:c r="A88" s="2"/>
      <x:c r="B88" s="2"/>
      <x:c r="C88" s="2"/>
      <x:c r="D88" s="2"/>
      <x:c r="E88" s="2"/>
      <x:c r="F88" s="2"/>
    </x:row>
    <x:row r="89" ht="27" customHeight="1">
      <x:c r="A89" s="4" t="s">
        <x:v>835</x:v>
      </x:c>
      <x:c r="B89" s="4"/>
      <x:c r="C89" s="4"/>
      <x:c r="D89" s="4"/>
      <x:c r="E89" s="4"/>
      <x:c r="F89" s="4"/>
    </x:row>
    <x:row r="90" ht="48.75" customHeight="1">
      <x:c r="A90" s="5" t="s">
        <x:v>211</x:v>
      </x:c>
      <x:c r="B90" s="5" t="s">
        <x:v>830</x:v>
      </x:c>
      <x:c r="C90" s="2"/>
      <x:c r="D90" s="2"/>
      <x:c r="E90" s="2"/>
      <x:c r="F90" s="2"/>
    </x:row>
    <x:row r="91" ht="42" customHeight="1">
      <x:c r="A91" s="15" t="s">
        <x:v>836</x:v>
      </x:c>
      <x:c r="B91" s="32">
        <x:v>0.12</x:v>
      </x:c>
      <x:c r="C91" s="2"/>
      <x:c r="D91" s="2"/>
      <x:c r="E91" s="2"/>
      <x:c r="F91" s="2"/>
    </x:row>
    <x:row r="92" ht="42" customHeight="1">
      <x:c r="A92" s="15" t="s">
        <x:v>837</x:v>
      </x:c>
      <x:c r="B92" s="27">
        <x:v>12.0</x:v>
      </x:c>
      <x:c r="C92" s="2"/>
      <x:c r="D92" s="2"/>
      <x:c r="E92" s="2"/>
      <x:c r="F92" s="2"/>
    </x:row>
    <x:row r="93" ht="21.75" customHeight="1">
      <x:c r="A93" s="2"/>
      <x:c r="B93" s="2"/>
      <x:c r="C93" s="2"/>
      <x:c r="D93" s="2"/>
      <x:c r="E93" s="2"/>
      <x:c r="F93" s="2"/>
    </x:row>
    <x:row r="94" ht="21.75" customHeight="1">
      <x:c r="A94" s="2"/>
      <x:c r="B94" s="2"/>
      <x:c r="C94" s="2"/>
      <x:c r="D94" s="2"/>
      <x:c r="E94" s="2"/>
      <x:c r="F94" s="2"/>
    </x:row>
    <x:row r="95" ht="27" customHeight="1">
      <x:c r="A95" s="4" t="s">
        <x:v>838</x:v>
      </x:c>
      <x:c r="B95" s="4"/>
      <x:c r="C95" s="4"/>
      <x:c r="D95" s="4"/>
      <x:c r="E95" s="4"/>
      <x:c r="F95" s="4"/>
    </x:row>
    <x:row r="96" ht="48.75" customHeight="1">
      <x:c r="A96" s="5" t="s">
        <x:v>452</x:v>
      </x:c>
      <x:c r="B96" s="5" t="s">
        <x:v>839</x:v>
      </x:c>
      <x:c r="C96" s="5" t="s">
        <x:v>840</x:v>
      </x:c>
      <x:c r="D96" s="5" t="s">
        <x:v>841</x:v>
      </x:c>
      <x:c r="E96" s="5" t="s">
        <x:v>842</x:v>
      </x:c>
      <x:c r="F96" s="5" t="s">
        <x:v>843</x:v>
      </x:c>
    </x:row>
    <x:row r="97" ht="37.5" customHeight="1">
      <x:c r="A97" s="15" t="s">
        <x:v>787</x:v>
      </x:c>
      <x:c r="B97" s="32">
        <x:v>1.2</x:v>
      </x:c>
      <x:c r="C97" s="32">
        <x:v>0.0</x:v>
      </x:c>
      <x:c r="D97" s="32">
        <x:v>0.55</x:v>
      </x:c>
      <x:c r="E97" s="32">
        <x:v>0.0</x:v>
      </x:c>
      <x:c r="F97" s="27">
        <x:v>8.0</x:v>
      </x:c>
    </x:row>
    <x:row r="98" ht="37.5" customHeight="1">
      <x:c r="A98" s="15" t="s">
        <x:v>844</x:v>
      </x:c>
      <x:c r="B98" s="32">
        <x:v>1.45</x:v>
      </x:c>
      <x:c r="C98" s="32">
        <x:v>0.4</x:v>
      </x:c>
      <x:c r="D98" s="32">
        <x:v>0.2</x:v>
      </x:c>
      <x:c r="E98" s="32">
        <x:v>0.12</x:v>
      </x:c>
      <x:c r="F98" s="27">
        <x:v>5.0</x:v>
      </x:c>
    </x:row>
    <x:row r="99" ht="37.5" customHeight="1">
      <x:c r="A99" s="15" t="s">
        <x:v>845</x:v>
      </x:c>
      <x:c r="B99" s="32">
        <x:v>1.45</x:v>
      </x:c>
      <x:c r="C99" s="32">
        <x:v>0.25</x:v>
      </x:c>
      <x:c r="D99" s="32">
        <x:v>0.2</x:v>
      </x:c>
      <x:c r="E99" s="32">
        <x:v>0.12</x:v>
      </x:c>
      <x:c r="F99" s="27">
        <x:v>5.0</x:v>
      </x:c>
    </x:row>
    <x:row r="100" ht="37.5" customHeight="1">
      <x:c r="A100" s="15" t="s">
        <x:v>846</x:v>
      </x:c>
      <x:c r="B100" s="32">
        <x:v>1.45</x:v>
      </x:c>
      <x:c r="C100" s="32">
        <x:v>0.55</x:v>
      </x:c>
      <x:c r="D100" s="32">
        <x:v>0.2</x:v>
      </x:c>
      <x:c r="E100" s="32">
        <x:v>0.12</x:v>
      </x:c>
      <x:c r="F100" s="27">
        <x:v>5.0</x:v>
      </x:c>
    </x:row>
    <x:row r="101" ht="21.75" customHeight="1">
      <x:c r="A101" s="2"/>
      <x:c r="B101" s="2"/>
      <x:c r="C101" s="2"/>
      <x:c r="D101" s="2"/>
      <x:c r="E101" s="2"/>
      <x:c r="F101" s="2"/>
    </x:row>
    <x:row r="102" ht="21.75" customHeight="1">
      <x:c r="A102" s="2"/>
      <x:c r="B102" s="2"/>
      <x:c r="C102" s="2"/>
      <x:c r="D102" s="2"/>
      <x:c r="E102" s="2"/>
      <x:c r="F102" s="2"/>
    </x:row>
    <x:row r="103" ht="27" customHeight="1">
      <x:c r="A103" s="4" t="s">
        <x:v>847</x:v>
      </x:c>
      <x:c r="B103" s="4"/>
      <x:c r="C103" s="4"/>
      <x:c r="D103" s="4"/>
      <x:c r="E103" s="4"/>
      <x:c r="F103" s="4"/>
    </x:row>
    <x:row r="104" ht="48.75" customHeight="1">
      <x:c r="A104" s="5" t="s">
        <x:v>829</x:v>
      </x:c>
      <x:c r="B104" s="5" t="s">
        <x:v>848</x:v>
      </x:c>
      <x:c r="C104" s="2"/>
      <x:c r="D104" s="2"/>
      <x:c r="E104" s="2"/>
      <x:c r="F104" s="2"/>
    </x:row>
    <x:row r="105" ht="57" customHeight="1">
      <x:c r="A105" s="15" t="s">
        <x:v>849</x:v>
      </x:c>
      <x:c r="B105" s="36" t="n">
        <x:f>IF(D34="","",D34-(B98+D98+E98+F98*B91))</x:f>
        <x:v>0.33999999999999986</x:v>
      </x:c>
      <x:c r="C105" s="2"/>
      <x:c r="D105" s="2"/>
      <x:c r="E105" s="2"/>
      <x:c r="F105" s="2"/>
    </x:row>
    <x:row r="106" ht="21.75" customHeight="1">
      <x:c r="A106" s="2"/>
      <x:c r="B106" s="2"/>
      <x:c r="C106" s="2"/>
      <x:c r="D106" s="2"/>
      <x:c r="E106" s="2"/>
      <x:c r="F106" s="2"/>
    </x:row>
    <x:row r="107" ht="21.75" customHeight="1">
      <x:c r="A107" s="2"/>
      <x:c r="B107" s="2"/>
      <x:c r="C107" s="2"/>
      <x:c r="D107" s="2"/>
      <x:c r="E107" s="2"/>
      <x:c r="F107" s="2"/>
    </x:row>
    <x:row r="108" ht="22.5" customHeight="1">
      <x:c r="A108" s="3" t="s">
        <x:v>850</x:v>
      </x:c>
      <x:c r="B108" s="3"/>
      <x:c r="C108" s="3"/>
      <x:c r="D108" s="3"/>
      <x:c r="E108" s="3"/>
      <x:c r="F108" s="3"/>
    </x:row>
    <x:row r="109" ht="22.5" customHeight="1">
      <x:c r="A109" s="3" t="s">
        <x:v>851</x:v>
      </x:c>
      <x:c r="B109" s="3"/>
      <x:c r="C109" s="3"/>
      <x:c r="D109" s="3"/>
      <x:c r="E109" s="3"/>
      <x:c r="F109" s="3"/>
    </x:row>
    <x:row r="110" ht="21.75" customHeight="1">
      <x:c r="A110" s="2"/>
      <x:c r="B110" s="2"/>
      <x:c r="C110" s="2"/>
      <x:c r="D110" s="2"/>
      <x:c r="E110" s="2"/>
      <x:c r="F110" s="2"/>
    </x:row>
    <x:row r="111" ht="21.75" customHeight="1">
      <x:c r="A111" s="6" t="s">
        <x:v>380</x:v>
      </x:c>
      <x:c r="B111" s="2"/>
      <x:c r="C111" s="2"/>
      <x:c r="D111" s="2"/>
      <x:c r="E111" s="2"/>
      <x:c r="F111" s="2"/>
    </x:row>
    <x:row r="112" ht="22.5" customHeight="1">
      <x:c r="A112" s="3" t="s">
        <x:v>381</x:v>
      </x:c>
      <x:c r="B112" s="3"/>
      <x:c r="C112" s="3"/>
      <x:c r="D112" s="3"/>
      <x:c r="E112" s="3"/>
      <x:c r="F112" s="3"/>
    </x:row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21.75" customHeight="1"/>
    <x:row r="277" ht="21.75" customHeight="1"/>
    <x:row r="278" ht="21.75" customHeight="1"/>
    <x:row r="279" ht="21.75" customHeight="1"/>
    <x:row r="280" ht="21.75" customHeight="1"/>
    <x:row r="281" ht="21.75" customHeight="1"/>
    <x:row r="282" ht="21.75" customHeight="1"/>
    <x:row r="283" ht="21.75" customHeight="1"/>
    <x:row r="284" ht="21.75" customHeight="1"/>
    <x:row r="285" ht="21.75" customHeight="1"/>
    <x:row r="286" ht="21.75" customHeight="1"/>
    <x:row r="287" ht="21.75" customHeight="1"/>
    <x:row r="288" ht="21.75" customHeight="1"/>
    <x:row r="289" ht="21.75" customHeight="1"/>
    <x:row r="290" ht="21.75" customHeight="1"/>
    <x:row r="291" ht="21.75" customHeight="1"/>
    <x:row r="292" ht="21.75" customHeight="1"/>
    <x:row r="293" ht="21.75" customHeight="1"/>
    <x:row r="294" ht="21.75" customHeight="1"/>
    <x:row r="295" ht="21.75" customHeight="1"/>
    <x:row r="296" ht="21.75" customHeight="1"/>
    <x:row r="297" ht="21.75" customHeight="1"/>
    <x:row r="298" ht="21.75" customHeight="1"/>
    <x:row r="299" ht="21.75" customHeight="1"/>
    <x:row r="300" ht="21.75" customHeight="1"/>
    <x:row r="301" ht="21.75" customHeight="1"/>
    <x:row r="302" ht="21.75" customHeight="1"/>
    <x:row r="303" ht="21.75" customHeight="1"/>
    <x:row r="304" ht="21.75" customHeight="1"/>
    <x:row r="305" ht="21.75" customHeight="1"/>
    <x:row r="306" ht="21.75" customHeight="1"/>
    <x:row r="307" ht="21.75" customHeight="1"/>
    <x:row r="308" ht="21.75" customHeight="1"/>
    <x:row r="309" ht="21.75" customHeight="1"/>
    <x:row r="310" ht="21.75" customHeight="1"/>
    <x:row r="311" ht="21.75" customHeight="1"/>
    <x:row r="312" ht="21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4" location="'С08_Экономика'!A81"/>
    <x:hyperlink ref="A111" location="'С07_Взаимодействие'!A1"/>
  </x:hyperlink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33" customWidth="1"/>
    <x:col min="2" max="2" width="37" customWidth="1"/>
    <x:col min="3" max="4" width="31" customWidth="1"/>
    <x:col min="5" max="5" width="35" customWidth="1"/>
    <x:col min="6" max="26" width="8.630000114440918" customWidth="1"/>
  </x:cols>
  <x:sheetData>
    <x:row r="1" ht="28.5" customHeight="1">
      <x:c r="A1" s="1" t="s">
        <x:v>852</x:v>
      </x:c>
      <x:c r="B1" s="1"/>
      <x:c r="C1" s="1"/>
      <x:c r="D1" s="1"/>
      <x:c r="E1" s="1"/>
    </x:row>
    <x:row r="2" ht="21.75" customHeight="1">
      <x:c r="A2" s="2"/>
      <x:c r="B2" s="2"/>
      <x:c r="C2" s="2"/>
      <x:c r="D2" s="2"/>
      <x:c r="E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</x:row>
    <x:row r="4" ht="21.75" customHeight="1">
      <x:c r="A4" s="2"/>
      <x:c r="B4" s="2"/>
      <x:c r="C4" s="2"/>
      <x:c r="D4" s="2"/>
      <x:c r="E4" s="2"/>
    </x:row>
    <x:row r="5" ht="22.5" customHeight="1">
      <x:c r="A5" s="10" t="s">
        <x:v>853</x:v>
      </x:c>
      <x:c r="B5" s="10"/>
      <x:c r="C5" s="10"/>
      <x:c r="D5" s="10"/>
      <x:c r="E5" s="10"/>
    </x:row>
    <x:row r="6" ht="22.5" customHeight="1">
      <x:c r="A6" s="3" t="s">
        <x:v>854</x:v>
      </x:c>
      <x:c r="B6" s="3"/>
      <x:c r="C6" s="3"/>
      <x:c r="D6" s="3"/>
      <x:c r="E6" s="3"/>
    </x:row>
    <x:row r="7" ht="22.5" customHeight="1">
      <x:c r="A7" s="3" t="s">
        <x:v>855</x:v>
      </x:c>
      <x:c r="B7" s="3"/>
      <x:c r="C7" s="3"/>
      <x:c r="D7" s="3"/>
      <x:c r="E7" s="3"/>
    </x:row>
    <x:row r="8" ht="22.5" customHeight="1">
      <x:c r="A8" s="3" t="s">
        <x:v>856</x:v>
      </x:c>
      <x:c r="B8" s="3"/>
      <x:c r="C8" s="3"/>
      <x:c r="D8" s="3"/>
      <x:c r="E8" s="3"/>
    </x:row>
    <x:row r="9" ht="22.5" customHeight="1">
      <x:c r="A9" s="3" t="s">
        <x:v>857</x:v>
      </x:c>
      <x:c r="B9" s="3"/>
      <x:c r="C9" s="3"/>
      <x:c r="D9" s="3"/>
      <x:c r="E9" s="3"/>
    </x:row>
    <x:row r="10" ht="22.5" customHeight="1">
      <x:c r="A10" s="3" t="s">
        <x:v>858</x:v>
      </x:c>
      <x:c r="B10" s="3"/>
      <x:c r="C10" s="3"/>
      <x:c r="D10" s="3"/>
      <x:c r="E10" s="3"/>
    </x:row>
    <x:row r="11" ht="22.5" customHeight="1">
      <x:c r="A11" s="3" t="s">
        <x:v>859</x:v>
      </x:c>
      <x:c r="B11" s="3"/>
      <x:c r="C11" s="3"/>
      <x:c r="D11" s="3"/>
      <x:c r="E11" s="3"/>
    </x:row>
    <x:row r="12" ht="22.5" customHeight="1">
      <x:c r="A12" s="3" t="s">
        <x:v>860</x:v>
      </x:c>
      <x:c r="B12" s="3"/>
      <x:c r="C12" s="3"/>
      <x:c r="D12" s="3"/>
      <x:c r="E12" s="3"/>
    </x:row>
    <x:row r="13" ht="22.5" customHeight="1">
      <x:c r="A13" s="3" t="s">
        <x:v>861</x:v>
      </x:c>
      <x:c r="B13" s="3"/>
      <x:c r="C13" s="3"/>
      <x:c r="D13" s="3"/>
      <x:c r="E13" s="3"/>
    </x:row>
    <x:row r="14" ht="22.5" customHeight="1">
      <x:c r="A14" s="3" t="s">
        <x:v>862</x:v>
      </x:c>
      <x:c r="B14" s="3"/>
      <x:c r="C14" s="3"/>
      <x:c r="D14" s="3"/>
      <x:c r="E14" s="3"/>
    </x:row>
    <x:row r="15" ht="22.5" customHeight="1">
      <x:c r="A15" s="3" t="s">
        <x:v>245</x:v>
      </x:c>
      <x:c r="B15" s="3"/>
      <x:c r="C15" s="3"/>
      <x:c r="D15" s="3"/>
      <x:c r="E15" s="3"/>
    </x:row>
    <x:row r="16" ht="27" customHeight="1">
      <x:c r="A16" s="4" t="s">
        <x:v>863</x:v>
      </x:c>
      <x:c r="B16" s="4"/>
      <x:c r="C16" s="4"/>
      <x:c r="D16" s="4"/>
      <x:c r="E16" s="4"/>
    </x:row>
    <x:row r="17" ht="48.75" customHeight="1">
      <x:c r="A17" s="5" t="s">
        <x:v>864</x:v>
      </x:c>
      <x:c r="B17" s="5" t="s">
        <x:v>588</x:v>
      </x:c>
      <x:c r="C17" s="5" t="s">
        <x:v>865</x:v>
      </x:c>
      <x:c r="D17" s="5" t="s">
        <x:v>866</x:v>
      </x:c>
      <x:c r="E17" s="5" t="s">
        <x:v>867</x:v>
      </x:c>
    </x:row>
    <x:row r="18" ht="79.5" customHeight="1">
      <x:c r="A18" s="7" t="s">
        <x:v>868</x:v>
      </x:c>
      <x:c r="B18" s="16"/>
      <x:c r="C18" s="16"/>
      <x:c r="D18" s="16"/>
      <x:c r="E18" s="16"/>
    </x:row>
    <x:row r="19" ht="79.5" customHeight="1">
      <x:c r="A19" s="7" t="s">
        <x:v>869</x:v>
      </x:c>
      <x:c r="B19" s="16"/>
      <x:c r="C19" s="16"/>
      <x:c r="D19" s="16"/>
      <x:c r="E19" s="16"/>
    </x:row>
    <x:row r="20" ht="79.5" customHeight="1">
      <x:c r="A20" s="7" t="s">
        <x:v>402</x:v>
      </x:c>
      <x:c r="B20" s="16"/>
      <x:c r="C20" s="16"/>
      <x:c r="D20" s="16"/>
      <x:c r="E20" s="16"/>
    </x:row>
    <x:row r="21" ht="79.5" customHeight="1">
      <x:c r="A21" s="7" t="s">
        <x:v>870</x:v>
      </x:c>
      <x:c r="B21" s="16"/>
      <x:c r="C21" s="16"/>
      <x:c r="D21" s="16"/>
      <x:c r="E21" s="16"/>
    </x:row>
    <x:row r="22" ht="79.5" customHeight="1">
      <x:c r="A22" s="7" t="s">
        <x:v>871</x:v>
      </x:c>
      <x:c r="B22" s="16"/>
      <x:c r="C22" s="16"/>
      <x:c r="D22" s="16"/>
      <x:c r="E22" s="16"/>
    </x:row>
    <x:row r="23" ht="21.75" customHeight="1">
      <x:c r="A23" s="2"/>
      <x:c r="B23" s="2"/>
      <x:c r="C23" s="2"/>
      <x:c r="D23" s="2"/>
      <x:c r="E23" s="2"/>
    </x:row>
    <x:row r="24" ht="21.75" customHeight="1">
      <x:c r="A24" s="2"/>
      <x:c r="B24" s="2"/>
      <x:c r="C24" s="2"/>
      <x:c r="D24" s="2"/>
      <x:c r="E24" s="2"/>
    </x:row>
    <x:row r="25" ht="27" customHeight="1">
      <x:c r="A25" s="4" t="s">
        <x:v>872</x:v>
      </x:c>
      <x:c r="B25" s="4"/>
      <x:c r="C25" s="4"/>
      <x:c r="D25" s="4"/>
      <x:c r="E25" s="4"/>
    </x:row>
    <x:row r="26" ht="48.75" customHeight="1">
      <x:c r="A26" s="5" t="s">
        <x:v>873</x:v>
      </x:c>
      <x:c r="B26" s="5" t="s">
        <x:v>474</x:v>
      </x:c>
      <x:c r="C26" s="5" t="s">
        <x:v>874</x:v>
      </x:c>
      <x:c r="D26" s="5" t="s">
        <x:v>875</x:v>
      </x:c>
      <x:c r="E26" s="2"/>
    </x:row>
    <x:row r="27" ht="79.5" customHeight="1">
      <x:c r="A27" s="16"/>
      <x:c r="B27" s="16"/>
      <x:c r="C27" s="16"/>
      <x:c r="D27" s="16"/>
      <x:c r="E27" s="2"/>
    </x:row>
    <x:row r="28" ht="79.5" customHeight="1">
      <x:c r="A28" s="16"/>
      <x:c r="B28" s="16"/>
      <x:c r="C28" s="16"/>
      <x:c r="D28" s="16"/>
      <x:c r="E28" s="2"/>
    </x:row>
    <x:row r="29" ht="79.5" customHeight="1">
      <x:c r="A29" s="16"/>
      <x:c r="B29" s="16"/>
      <x:c r="C29" s="16"/>
      <x:c r="D29" s="16"/>
      <x:c r="E29" s="2"/>
    </x:row>
    <x:row r="30" ht="21.75" customHeight="1">
      <x:c r="A30" s="2"/>
      <x:c r="B30" s="2"/>
      <x:c r="C30" s="2"/>
      <x:c r="D30" s="2"/>
      <x:c r="E30" s="2"/>
    </x:row>
    <x:row r="31" ht="21.75" customHeight="1">
      <x:c r="A31" s="2"/>
      <x:c r="B31" s="2"/>
      <x:c r="C31" s="2"/>
      <x:c r="D31" s="2"/>
      <x:c r="E31" s="2"/>
    </x:row>
    <x:row r="32" ht="27" customHeight="1">
      <x:c r="A32" s="4" t="s">
        <x:v>876</x:v>
      </x:c>
      <x:c r="B32" s="4"/>
      <x:c r="C32" s="4"/>
      <x:c r="D32" s="4"/>
      <x:c r="E32" s="4"/>
    </x:row>
    <x:row r="33" ht="48.75" customHeight="1">
      <x:c r="A33" s="5" t="s">
        <x:v>877</x:v>
      </x:c>
      <x:c r="B33" s="5" t="s">
        <x:v>273</x:v>
      </x:c>
      <x:c r="C33" s="5" t="s">
        <x:v>878</x:v>
      </x:c>
      <x:c r="D33" s="5" t="s">
        <x:v>879</x:v>
      </x:c>
      <x:c r="E33" s="2"/>
    </x:row>
    <x:row r="34" ht="79.5" customHeight="1">
      <x:c r="A34" s="16"/>
      <x:c r="B34" s="16"/>
      <x:c r="C34" s="16"/>
      <x:c r="D34" s="16"/>
      <x:c r="E34" s="2"/>
    </x:row>
    <x:row r="35" ht="21.75" customHeight="1">
      <x:c r="A35" s="2"/>
      <x:c r="B35" s="2"/>
      <x:c r="C35" s="2"/>
      <x:c r="D35" s="2"/>
      <x:c r="E35" s="2"/>
    </x:row>
    <x:row r="36" ht="21.75" customHeight="1">
      <x:c r="A36" s="2"/>
      <x:c r="B36" s="2"/>
      <x:c r="C36" s="2"/>
      <x:c r="D36" s="2"/>
      <x:c r="E36" s="2"/>
    </x:row>
    <x:row r="37" ht="27" customHeight="1">
      <x:c r="A37" s="4" t="s">
        <x:v>278</x:v>
      </x:c>
      <x:c r="B37" s="4"/>
      <x:c r="C37" s="4"/>
      <x:c r="D37" s="4"/>
      <x:c r="E37" s="4"/>
    </x:row>
    <x:row r="38" ht="22.5" customHeight="1">
      <x:c r="A38" s="3" t="s">
        <x:v>880</x:v>
      </x:c>
      <x:c r="B38" s="3"/>
      <x:c r="C38" s="3"/>
      <x:c r="D38" s="3"/>
      <x:c r="E38" s="3"/>
    </x:row>
    <x:row r="39" ht="22.5" customHeight="1">
      <x:c r="A39" s="3" t="s">
        <x:v>881</x:v>
      </x:c>
      <x:c r="B39" s="3"/>
      <x:c r="C39" s="3"/>
      <x:c r="D39" s="3"/>
      <x:c r="E39" s="3"/>
    </x:row>
    <x:row r="40" ht="22.5" customHeight="1">
      <x:c r="A40" s="3" t="s">
        <x:v>882</x:v>
      </x:c>
      <x:c r="B40" s="3"/>
      <x:c r="C40" s="3"/>
      <x:c r="D40" s="3"/>
      <x:c r="E40" s="3"/>
    </x:row>
    <x:row r="41" ht="22.5" customHeight="1">
      <x:c r="A41" s="3" t="s">
        <x:v>883</x:v>
      </x:c>
      <x:c r="B41" s="3"/>
      <x:c r="C41" s="3"/>
      <x:c r="D41" s="3"/>
      <x:c r="E41" s="3"/>
    </x:row>
    <x:row r="42" ht="22.5" customHeight="1">
      <x:c r="A42" s="3" t="s">
        <x:v>884</x:v>
      </x:c>
      <x:c r="B42" s="3"/>
      <x:c r="C42" s="3"/>
      <x:c r="D42" s="3"/>
      <x:c r="E42" s="3"/>
    </x:row>
    <x:row r="43" ht="22.5" customHeight="1">
      <x:c r="A43" s="3" t="s">
        <x:v>885</x:v>
      </x:c>
      <x:c r="B43" s="3"/>
      <x:c r="C43" s="3"/>
      <x:c r="D43" s="3"/>
      <x:c r="E43" s="3"/>
    </x:row>
    <x:row r="44" ht="22.5" customHeight="1">
      <x:c r="A44" s="3" t="s">
        <x:v>886</x:v>
      </x:c>
      <x:c r="B44" s="3"/>
      <x:c r="C44" s="3"/>
      <x:c r="D44" s="3"/>
      <x:c r="E44" s="3"/>
    </x:row>
    <x:row r="45" ht="22.5" customHeight="1">
      <x:c r="A45" s="3" t="s">
        <x:v>887</x:v>
      </x:c>
      <x:c r="B45" s="3"/>
      <x:c r="C45" s="3"/>
      <x:c r="D45" s="3"/>
      <x:c r="E45" s="3"/>
    </x:row>
    <x:row r="46" ht="22.5" customHeight="1">
      <x:c r="A46" s="3" t="s">
        <x:v>888</x:v>
      </x:c>
      <x:c r="B46" s="3"/>
      <x:c r="C46" s="3"/>
      <x:c r="D46" s="3"/>
      <x:c r="E46" s="3"/>
    </x:row>
    <x:row r="47" ht="22.5" customHeight="1">
      <x:c r="A47" s="3" t="s">
        <x:v>889</x:v>
      </x:c>
      <x:c r="B47" s="3"/>
      <x:c r="C47" s="3"/>
      <x:c r="D47" s="3"/>
      <x:c r="E47" s="3"/>
    </x:row>
    <x:row r="48" ht="22.5" customHeight="1">
      <x:c r="A48" s="3" t="s">
        <x:v>890</x:v>
      </x:c>
      <x:c r="B48" s="3"/>
      <x:c r="C48" s="3"/>
      <x:c r="D48" s="3"/>
      <x:c r="E48" s="3"/>
    </x:row>
    <x:row r="49" ht="22.5" customHeight="1">
      <x:c r="A49" s="3" t="s">
        <x:v>891</x:v>
      </x:c>
      <x:c r="B49" s="3"/>
      <x:c r="C49" s="3"/>
      <x:c r="D49" s="3"/>
      <x:c r="E49" s="3"/>
    </x:row>
    <x:row r="50" ht="22.5" customHeight="1">
      <x:c r="A50" s="3" t="s">
        <x:v>892</x:v>
      </x:c>
      <x:c r="B50" s="3"/>
      <x:c r="C50" s="3"/>
      <x:c r="D50" s="3"/>
      <x:c r="E50" s="3"/>
    </x:row>
    <x:row r="51" ht="22.5" customHeight="1">
      <x:c r="A51" s="3" t="s">
        <x:v>893</x:v>
      </x:c>
      <x:c r="B51" s="3"/>
      <x:c r="C51" s="3"/>
      <x:c r="D51" s="3"/>
      <x:c r="E51" s="3"/>
    </x:row>
    <x:row r="52" ht="27" customHeight="1">
      <x:c r="A52" s="4" t="s">
        <x:v>421</x:v>
      </x:c>
      <x:c r="B52" s="4"/>
      <x:c r="C52" s="4"/>
      <x:c r="D52" s="4"/>
      <x:c r="E52" s="4"/>
    </x:row>
    <x:row r="53" ht="22.5" customHeight="1">
      <x:c r="A53" s="10" t="s">
        <x:v>894</x:v>
      </x:c>
      <x:c r="B53" s="10"/>
      <x:c r="C53" s="10"/>
      <x:c r="D53" s="10"/>
      <x:c r="E53" s="10"/>
    </x:row>
    <x:row r="54" ht="22.5" customHeight="1">
      <x:c r="A54" s="3" t="s">
        <x:v>895</x:v>
      </x:c>
      <x:c r="B54" s="3"/>
      <x:c r="C54" s="3"/>
      <x:c r="D54" s="3"/>
      <x:c r="E54" s="3"/>
    </x:row>
    <x:row r="55" ht="22.5" customHeight="1">
      <x:c r="A55" s="3" t="s">
        <x:v>896</x:v>
      </x:c>
      <x:c r="B55" s="3"/>
      <x:c r="C55" s="3"/>
      <x:c r="D55" s="3"/>
      <x:c r="E55" s="3"/>
    </x:row>
    <x:row r="56" ht="22.5" customHeight="1">
      <x:c r="A56" s="3" t="s">
        <x:v>897</x:v>
      </x:c>
      <x:c r="B56" s="3"/>
      <x:c r="C56" s="3"/>
      <x:c r="D56" s="3"/>
      <x:c r="E56" s="3"/>
    </x:row>
    <x:row r="57" ht="22.5" customHeight="1">
      <x:c r="A57" s="3" t="s">
        <x:v>898</x:v>
      </x:c>
      <x:c r="B57" s="3"/>
      <x:c r="C57" s="3"/>
      <x:c r="D57" s="3"/>
      <x:c r="E57" s="3"/>
    </x:row>
    <x:row r="58" ht="22.5" customHeight="1">
      <x:c r="A58" s="3" t="s">
        <x:v>899</x:v>
      </x:c>
      <x:c r="B58" s="3"/>
      <x:c r="C58" s="3"/>
      <x:c r="D58" s="3"/>
      <x:c r="E58" s="3"/>
    </x:row>
    <x:row r="59" ht="22.5" customHeight="1">
      <x:c r="A59" s="3" t="s">
        <x:v>900</x:v>
      </x:c>
      <x:c r="B59" s="3"/>
      <x:c r="C59" s="3"/>
      <x:c r="D59" s="3"/>
      <x:c r="E59" s="3"/>
    </x:row>
    <x:row r="60" ht="22.5" customHeight="1">
      <x:c r="A60" s="3" t="s">
        <x:v>901</x:v>
      </x:c>
      <x:c r="B60" s="3"/>
      <x:c r="C60" s="3"/>
      <x:c r="D60" s="3"/>
      <x:c r="E60" s="3"/>
    </x:row>
    <x:row r="61" ht="27" customHeight="1">
      <x:c r="A61" s="4" t="s">
        <x:v>902</x:v>
      </x:c>
      <x:c r="B61" s="4"/>
      <x:c r="C61" s="4"/>
      <x:c r="D61" s="4"/>
      <x:c r="E61" s="4"/>
    </x:row>
    <x:row r="62" ht="48.75" customHeight="1">
      <x:c r="A62" s="5" t="s">
        <x:v>530</x:v>
      </x:c>
      <x:c r="B62" s="5" t="s">
        <x:v>903</x:v>
      </x:c>
      <x:c r="C62" s="5" t="s">
        <x:v>904</x:v>
      </x:c>
      <x:c r="D62" s="5" t="s">
        <x:v>905</x:v>
      </x:c>
      <x:c r="E62" s="2"/>
    </x:row>
    <x:row r="63" ht="72" customHeight="1">
      <x:c r="A63" s="15" t="s">
        <x:v>906</x:v>
      </x:c>
      <x:c r="B63" s="15" t="s">
        <x:v>907</x:v>
      </x:c>
      <x:c r="C63" s="15" t="s">
        <x:v>908</x:v>
      </x:c>
      <x:c r="D63" s="15" t="s">
        <x:v>909</x:v>
      </x:c>
      <x:c r="E63" s="2"/>
    </x:row>
    <x:row r="64" ht="72" customHeight="1">
      <x:c r="A64" s="15" t="s">
        <x:v>910</x:v>
      </x:c>
      <x:c r="B64" s="15" t="s">
        <x:v>911</x:v>
      </x:c>
      <x:c r="C64" s="15" t="s">
        <x:v>912</x:v>
      </x:c>
      <x:c r="D64" s="15" t="s">
        <x:v>913</x:v>
      </x:c>
      <x:c r="E64" s="2"/>
    </x:row>
    <x:row r="65" ht="57" customHeight="1">
      <x:c r="A65" s="15" t="s">
        <x:v>914</x:v>
      </x:c>
      <x:c r="B65" s="15" t="s">
        <x:v>915</x:v>
      </x:c>
      <x:c r="C65" s="15" t="s">
        <x:v>916</x:v>
      </x:c>
      <x:c r="D65" s="15" t="s">
        <x:v>917</x:v>
      </x:c>
      <x:c r="E65" s="2"/>
    </x:row>
    <x:row r="66" ht="57" customHeight="1">
      <x:c r="A66" s="15" t="s">
        <x:v>918</x:v>
      </x:c>
      <x:c r="B66" s="15" t="s">
        <x:v>919</x:v>
      </x:c>
      <x:c r="C66" s="15" t="s">
        <x:v>920</x:v>
      </x:c>
      <x:c r="D66" s="15" t="s">
        <x:v>921</x:v>
      </x:c>
      <x:c r="E66" s="2"/>
    </x:row>
    <x:row r="67" ht="72" customHeight="1">
      <x:c r="A67" s="15" t="s">
        <x:v>922</x:v>
      </x:c>
      <x:c r="B67" s="15" t="s">
        <x:v>923</x:v>
      </x:c>
      <x:c r="C67" s="15" t="s">
        <x:v>924</x:v>
      </x:c>
      <x:c r="D67" s="15" t="s">
        <x:v>925</x:v>
      </x:c>
      <x:c r="E67" s="2"/>
    </x:row>
    <x:row r="68" ht="57" customHeight="1">
      <x:c r="A68" s="15" t="s">
        <x:v>926</x:v>
      </x:c>
      <x:c r="B68" s="15" t="s">
        <x:v>927</x:v>
      </x:c>
      <x:c r="C68" s="15" t="s">
        <x:v>928</x:v>
      </x:c>
      <x:c r="D68" s="15" t="s">
        <x:v>929</x:v>
      </x:c>
      <x:c r="E68" s="2"/>
    </x:row>
    <x:row r="69" ht="42" customHeight="1">
      <x:c r="A69" s="15" t="s">
        <x:v>930</x:v>
      </x:c>
      <x:c r="B69" s="15" t="s">
        <x:v>927</x:v>
      </x:c>
      <x:c r="C69" s="15" t="s">
        <x:v>931</x:v>
      </x:c>
      <x:c r="D69" s="15" t="s">
        <x:v>932</x:v>
      </x:c>
      <x:c r="E69" s="2"/>
    </x:row>
    <x:row r="70" ht="21.75" customHeight="1">
      <x:c r="A70" s="2"/>
      <x:c r="B70" s="2"/>
      <x:c r="C70" s="2"/>
      <x:c r="D70" s="2"/>
      <x:c r="E70" s="2"/>
    </x:row>
    <x:row r="71" ht="21.75" customHeight="1">
      <x:c r="A71" s="2"/>
      <x:c r="B71" s="2"/>
      <x:c r="C71" s="2"/>
      <x:c r="D71" s="2"/>
      <x:c r="E71" s="2"/>
    </x:row>
    <x:row r="72" ht="22.5" customHeight="1">
      <x:c r="A72" s="3" t="s">
        <x:v>302</x:v>
      </x:c>
      <x:c r="B72" s="3"/>
      <x:c r="C72" s="3"/>
      <x:c r="D72" s="3"/>
      <x:c r="E72" s="3"/>
    </x:row>
    <x:row r="73" ht="21.75" customHeight="1">
      <x:c r="A73" s="2"/>
      <x:c r="B73" s="2"/>
      <x:c r="C73" s="2"/>
      <x:c r="D73" s="2"/>
      <x:c r="E73" s="2"/>
    </x:row>
    <x:row r="74" ht="21.75" customHeight="1">
      <x:c r="A74" s="6" t="s">
        <x:v>380</x:v>
      </x:c>
      <x:c r="B74" s="2"/>
      <x:c r="C74" s="2"/>
      <x:c r="D74" s="2"/>
      <x:c r="E74" s="2"/>
    </x:row>
    <x:row r="75" ht="22.5" customHeight="1">
      <x:c r="A75" s="3" t="s">
        <x:v>381</x:v>
      </x:c>
      <x:c r="B75" s="3"/>
      <x:c r="C75" s="3"/>
      <x:c r="D75" s="3"/>
      <x:c r="E75" s="3"/>
    </x:row>
    <x:row r="76" ht="21.75" customHeight="1"/>
    <x:row r="77" ht="21.75" customHeight="1"/>
    <x:row r="78" ht="21.75" customHeight="1"/>
    <x:row r="79" ht="21.75" customHeight="1"/>
    <x:row r="80" ht="21.75" customHeight="1"/>
    <x:row r="81" ht="21.75" customHeight="1"/>
    <x:row r="82" ht="21.75" customHeight="1"/>
    <x:row r="83" ht="21.75" customHeight="1"/>
    <x:row r="84" ht="21.75" customHeight="1"/>
    <x:row r="85" ht="21.75" customHeight="1"/>
    <x:row r="86" ht="21.75" customHeight="1"/>
    <x:row r="87" ht="21.75" customHeight="1"/>
    <x:row r="88" ht="21.75" customHeight="1"/>
    <x:row r="89" ht="21.75" customHeight="1"/>
    <x:row r="90" ht="21.75" customHeight="1"/>
    <x:row r="91" ht="21.75" customHeight="1"/>
    <x:row r="92" ht="21.75" customHeight="1"/>
    <x:row r="93" ht="21.75" customHeight="1"/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74" location="'С08_Экономика'!A1"/>
  </x:hyperlink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9" customWidth="1"/>
    <x:col min="2" max="2" width="12" customWidth="1"/>
    <x:col min="3" max="3" width="17" customWidth="1"/>
    <x:col min="4" max="4" width="14" customWidth="1"/>
    <x:col min="5" max="5" width="17" customWidth="1"/>
    <x:col min="6" max="6" width="12" customWidth="1"/>
    <x:col min="7" max="7" width="14" customWidth="1"/>
    <x:col min="8" max="8" width="31" customWidth="1"/>
    <x:col min="9" max="26" width="8.630000114440918" customWidth="1"/>
  </x:cols>
  <x:sheetData>
    <x:row r="1" ht="28.5" customHeight="1">
      <x:c r="A1" s="1" t="s">
        <x:v>933</x:v>
      </x:c>
      <x:c r="B1" s="1"/>
      <x:c r="C1" s="1"/>
      <x:c r="D1" s="1"/>
      <x:c r="E1" s="1"/>
      <x:c r="F1" s="1"/>
      <x:c r="G1" s="1"/>
      <x:c r="H1" s="1"/>
    </x:row>
    <x:row r="2" ht="21.75" customHeight="1">
      <x:c r="A2" s="2"/>
      <x:c r="B2" s="2"/>
      <x:c r="C2" s="2"/>
      <x:c r="D2" s="2"/>
      <x:c r="E2" s="2"/>
      <x:c r="F2" s="2"/>
      <x:c r="G2" s="2"/>
      <x:c r="H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  <x:c r="F3" s="2"/>
      <x:c r="G3" s="2"/>
      <x:c r="H3" s="2"/>
    </x:row>
    <x:row r="4" ht="21.75" customHeight="1">
      <x:c r="A4" s="2"/>
      <x:c r="B4" s="2"/>
      <x:c r="C4" s="2"/>
      <x:c r="D4" s="2"/>
      <x:c r="E4" s="2"/>
      <x:c r="F4" s="2"/>
      <x:c r="G4" s="2"/>
      <x:c r="H4" s="2"/>
    </x:row>
    <x:row r="5" ht="22.5" customHeight="1">
      <x:c r="A5" s="10" t="s">
        <x:v>934</x:v>
      </x:c>
      <x:c r="B5" s="10"/>
      <x:c r="C5" s="10"/>
      <x:c r="D5" s="10"/>
      <x:c r="E5" s="10"/>
      <x:c r="F5" s="10"/>
      <x:c r="G5" s="10"/>
      <x:c r="H5" s="10"/>
    </x:row>
    <x:row r="6" ht="22.5" customHeight="1">
      <x:c r="A6" s="3" t="s">
        <x:v>935</x:v>
      </x:c>
      <x:c r="B6" s="3"/>
      <x:c r="C6" s="3"/>
      <x:c r="D6" s="3"/>
      <x:c r="E6" s="3"/>
      <x:c r="F6" s="3"/>
      <x:c r="G6" s="3"/>
      <x:c r="H6" s="3"/>
    </x:row>
    <x:row r="7" ht="22.5" customHeight="1">
      <x:c r="A7" s="3" t="s">
        <x:v>936</x:v>
      </x:c>
      <x:c r="B7" s="3"/>
      <x:c r="C7" s="3"/>
      <x:c r="D7" s="3"/>
      <x:c r="E7" s="3"/>
      <x:c r="F7" s="3"/>
      <x:c r="G7" s="3"/>
      <x:c r="H7" s="3"/>
    </x:row>
    <x:row r="8" ht="22.5" customHeight="1">
      <x:c r="A8" s="3" t="s">
        <x:v>937</x:v>
      </x:c>
      <x:c r="B8" s="3"/>
      <x:c r="C8" s="3"/>
      <x:c r="D8" s="3"/>
      <x:c r="E8" s="3"/>
      <x:c r="F8" s="3"/>
      <x:c r="G8" s="3"/>
      <x:c r="H8" s="3"/>
    </x:row>
    <x:row r="9" ht="22.5" customHeight="1">
      <x:c r="A9" s="3" t="s">
        <x:v>938</x:v>
      </x:c>
      <x:c r="B9" s="3"/>
      <x:c r="C9" s="3"/>
      <x:c r="D9" s="3"/>
      <x:c r="E9" s="3"/>
      <x:c r="F9" s="3"/>
      <x:c r="G9" s="3"/>
      <x:c r="H9" s="3"/>
    </x:row>
    <x:row r="10" ht="22.5" customHeight="1">
      <x:c r="A10" s="3" t="s">
        <x:v>939</x:v>
      </x:c>
      <x:c r="B10" s="3"/>
      <x:c r="C10" s="3"/>
      <x:c r="D10" s="3"/>
      <x:c r="E10" s="3"/>
      <x:c r="F10" s="3"/>
      <x:c r="G10" s="3"/>
      <x:c r="H10" s="3"/>
    </x:row>
    <x:row r="11" ht="22.5" customHeight="1">
      <x:c r="A11" s="3" t="s">
        <x:v>940</x:v>
      </x:c>
      <x:c r="B11" s="3"/>
      <x:c r="C11" s="3"/>
      <x:c r="D11" s="3"/>
      <x:c r="E11" s="3"/>
      <x:c r="F11" s="3"/>
      <x:c r="G11" s="3"/>
      <x:c r="H11" s="3"/>
    </x:row>
    <x:row r="12" ht="22.5" customHeight="1">
      <x:c r="A12" s="3" t="s">
        <x:v>941</x:v>
      </x:c>
      <x:c r="B12" s="3"/>
      <x:c r="C12" s="3"/>
      <x:c r="D12" s="3"/>
      <x:c r="E12" s="3"/>
      <x:c r="F12" s="3"/>
      <x:c r="G12" s="3"/>
      <x:c r="H12" s="3"/>
    </x:row>
    <x:row r="13" ht="22.5" customHeight="1">
      <x:c r="A13" s="3" t="s">
        <x:v>942</x:v>
      </x:c>
      <x:c r="B13" s="3"/>
      <x:c r="C13" s="3"/>
      <x:c r="D13" s="3"/>
      <x:c r="E13" s="3"/>
      <x:c r="F13" s="3"/>
      <x:c r="G13" s="3"/>
      <x:c r="H13" s="3"/>
    </x:row>
    <x:row r="14" ht="22.5" customHeight="1">
      <x:c r="A14" s="3" t="s">
        <x:v>943</x:v>
      </x:c>
      <x:c r="B14" s="3"/>
      <x:c r="C14" s="3"/>
      <x:c r="D14" s="3"/>
      <x:c r="E14" s="3"/>
      <x:c r="F14" s="3"/>
      <x:c r="G14" s="3"/>
      <x:c r="H14" s="3"/>
    </x:row>
    <x:row r="15" ht="22.5" customHeight="1">
      <x:c r="A15" s="3" t="s">
        <x:v>944</x:v>
      </x:c>
      <x:c r="B15" s="3"/>
      <x:c r="C15" s="3"/>
      <x:c r="D15" s="3"/>
      <x:c r="E15" s="3"/>
      <x:c r="F15" s="3"/>
      <x:c r="G15" s="3"/>
      <x:c r="H15" s="3"/>
    </x:row>
    <x:row r="16" ht="22.5" customHeight="1">
      <x:c r="A16" s="3" t="s">
        <x:v>245</x:v>
      </x:c>
      <x:c r="B16" s="3"/>
      <x:c r="C16" s="3"/>
      <x:c r="D16" s="3"/>
      <x:c r="E16" s="3"/>
      <x:c r="F16" s="3"/>
      <x:c r="G16" s="3"/>
      <x:c r="H16" s="3"/>
    </x:row>
    <x:row r="17" ht="27" customHeight="1">
      <x:c r="A17" s="4" t="s">
        <x:v>945</x:v>
      </x:c>
      <x:c r="B17" s="4"/>
      <x:c r="C17" s="4"/>
      <x:c r="D17" s="4"/>
      <x:c r="E17" s="4"/>
      <x:c r="F17" s="4"/>
      <x:c r="G17" s="4"/>
      <x:c r="H17" s="4"/>
    </x:row>
    <x:row r="18" ht="48.75" customHeight="1">
      <x:c r="A18" s="5" t="s">
        <x:v>946</x:v>
      </x:c>
      <x:c r="B18" s="5" t="s">
        <x:v>947</x:v>
      </x:c>
      <x:c r="C18" s="5" t="s">
        <x:v>948</x:v>
      </x:c>
      <x:c r="D18" s="5" t="s">
        <x:v>474</x:v>
      </x:c>
      <x:c r="E18" s="2"/>
      <x:c r="F18" s="2"/>
      <x:c r="G18" s="2"/>
      <x:c r="H18" s="2"/>
    </x:row>
    <x:row r="19" ht="109.5" customHeight="1">
      <x:c r="A19" s="26" t="s">
        <x:v>949</x:v>
      </x:c>
      <x:c r="B19" s="16"/>
      <x:c r="C19" s="16"/>
      <x:c r="D19" s="16"/>
      <x:c r="E19" s="2"/>
      <x:c r="F19" s="2"/>
      <x:c r="G19" s="2"/>
      <x:c r="H19" s="2"/>
    </x:row>
    <x:row r="20" ht="109.5" customHeight="1">
      <x:c r="A20" s="26" t="s">
        <x:v>950</x:v>
      </x:c>
      <x:c r="B20" s="16"/>
      <x:c r="C20" s="16"/>
      <x:c r="D20" s="16"/>
      <x:c r="E20" s="2"/>
      <x:c r="F20" s="2"/>
      <x:c r="G20" s="2"/>
      <x:c r="H20" s="2"/>
    </x:row>
    <x:row r="21" ht="109.5" customHeight="1">
      <x:c r="A21" s="26" t="s">
        <x:v>951</x:v>
      </x:c>
      <x:c r="B21" s="16"/>
      <x:c r="C21" s="16"/>
      <x:c r="D21" s="16"/>
      <x:c r="E21" s="2"/>
      <x:c r="F21" s="2"/>
      <x:c r="G21" s="2"/>
      <x:c r="H21" s="2"/>
    </x:row>
    <x:row r="22" ht="109.5" customHeight="1">
      <x:c r="A22" s="26" t="s">
        <x:v>952</x:v>
      </x:c>
      <x:c r="B22" s="16"/>
      <x:c r="C22" s="16"/>
      <x:c r="D22" s="16"/>
      <x:c r="E22" s="2"/>
      <x:c r="F22" s="2"/>
      <x:c r="G22" s="2"/>
      <x:c r="H22" s="2"/>
    </x:row>
    <x:row r="23" ht="109.5" customHeight="1">
      <x:c r="A23" s="26" t="s">
        <x:v>953</x:v>
      </x:c>
      <x:c r="B23" s="16"/>
      <x:c r="C23" s="16"/>
      <x:c r="D23" s="16"/>
      <x:c r="E23" s="2"/>
      <x:c r="F23" s="2"/>
      <x:c r="G23" s="2"/>
      <x:c r="H23" s="2"/>
    </x:row>
    <x:row r="24" ht="109.5" customHeight="1">
      <x:c r="A24" s="26" t="s">
        <x:v>954</x:v>
      </x:c>
      <x:c r="B24" s="16"/>
      <x:c r="C24" s="16"/>
      <x:c r="D24" s="16"/>
      <x:c r="E24" s="2"/>
      <x:c r="F24" s="2"/>
      <x:c r="G24" s="2"/>
      <x:c r="H24" s="2"/>
    </x:row>
    <x:row r="25" ht="21.75" customHeight="1">
      <x:c r="A25" s="2"/>
      <x:c r="B25" s="2"/>
      <x:c r="C25" s="2"/>
      <x:c r="D25" s="2"/>
      <x:c r="E25" s="2"/>
      <x:c r="F25" s="2"/>
      <x:c r="G25" s="2"/>
      <x:c r="H25" s="2"/>
    </x:row>
    <x:row r="26" ht="21.75" customHeight="1">
      <x:c r="A26" s="2"/>
      <x:c r="B26" s="2"/>
      <x:c r="C26" s="2"/>
      <x:c r="D26" s="2"/>
      <x:c r="E26" s="2"/>
      <x:c r="F26" s="2"/>
      <x:c r="G26" s="2"/>
      <x:c r="H26" s="2"/>
    </x:row>
    <x:row r="27" ht="27" customHeight="1">
      <x:c r="A27" s="4" t="s">
        <x:v>955</x:v>
      </x:c>
      <x:c r="B27" s="4"/>
      <x:c r="C27" s="4"/>
      <x:c r="D27" s="4"/>
      <x:c r="E27" s="4"/>
      <x:c r="F27" s="4"/>
      <x:c r="G27" s="4"/>
      <x:c r="H27" s="4"/>
    </x:row>
    <x:row r="28" ht="48.75" customHeight="1">
      <x:c r="A28" s="5" t="s">
        <x:v>956</x:v>
      </x:c>
      <x:c r="B28" s="5" t="s">
        <x:v>957</x:v>
      </x:c>
      <x:c r="C28" s="5" t="s">
        <x:v>405</x:v>
      </x:c>
      <x:c r="D28" s="5" t="s">
        <x:v>958</x:v>
      </x:c>
      <x:c r="E28" s="5" t="s">
        <x:v>959</x:v>
      </x:c>
      <x:c r="F28" s="5" t="s">
        <x:v>960</x:v>
      </x:c>
      <x:c r="G28" s="5" t="s">
        <x:v>961</x:v>
      </x:c>
      <x:c r="H28" s="5" t="s">
        <x:v>457</x:v>
      </x:c>
    </x:row>
    <x:row r="29" ht="79.5" customHeight="1">
      <x:c r="A29" s="7" t="s">
        <x:v>962</x:v>
      </x:c>
      <x:c r="B29" s="34">
        <x:v>0.4</x:v>
      </x:c>
      <x:c r="C29" s="32">
        <x:v>0.6</x:v>
      </x:c>
      <x:c r="D29" s="31" t="n">
        <x:f t="shared" ref="D29:D31" si="1">IF(COUNT(B29:C29)&lt;2,"",B29*C29)</x:f>
        <x:v>0.24</x:v>
      </x:c>
      <x:c r="E29" s="32">
        <x:v>0.08</x:v>
      </x:c>
      <x:c r="F29" s="35">
        <x:v>0.15</x:v>
      </x:c>
      <x:c r="G29" s="31" t="n">
        <x:f t="shared" ref="G29:G31" si="2">IF(COUNT(C29,F29)&lt;2,"",C29*F29)</x:f>
        <x:v>0.09</x:v>
      </x:c>
      <x:c r="H29" s="16"/>
    </x:row>
    <x:row r="30" ht="79.5" customHeight="1">
      <x:c r="A30" s="7" t="s">
        <x:v>963</x:v>
      </x:c>
      <x:c r="B30" s="35">
        <x:v>0.1</x:v>
      </x:c>
      <x:c r="C30" s="32">
        <x:v>1.5</x:v>
      </x:c>
      <x:c r="D30" s="31">
        <x:f t="shared" si="1"/>
        <x:v>0.15</x:v>
      </x:c>
      <x:c r="E30" s="32">
        <x:v>0.0</x:v>
      </x:c>
      <x:c r="F30" s="35">
        <x:v>0.1</x:v>
      </x:c>
      <x:c r="G30" s="31">
        <x:f t="shared" si="2"/>
        <x:v>0.15</x:v>
      </x:c>
      <x:c r="H30" s="16"/>
    </x:row>
    <x:row r="31" ht="79.5" customHeight="1">
      <x:c r="A31" s="7" t="s">
        <x:v>964</x:v>
      </x:c>
      <x:c r="B31" s="35">
        <x:v>0.3</x:v>
      </x:c>
      <x:c r="C31" s="32">
        <x:v>-0.3</x:v>
      </x:c>
      <x:c r="D31" s="31">
        <x:f t="shared" si="1"/>
        <x:v>-0.09</x:v>
      </x:c>
      <x:c r="E31" s="32">
        <x:v>0.0</x:v>
      </x:c>
      <x:c r="F31" s="35">
        <x:v>0.3</x:v>
      </x:c>
      <x:c r="G31" s="31">
        <x:f t="shared" si="2"/>
        <x:v>-0.09</x:v>
      </x:c>
      <x:c r="H31" s="16"/>
    </x:row>
    <x:row r="32" ht="79.5" customHeight="1">
      <x:c r="A32" s="7" t="s">
        <x:v>965</x:v>
      </x:c>
      <x:c r="B32" s="35">
        <x:v>0.25</x:v>
      </x:c>
      <x:c r="C32" s="32">
        <x:v>0.2</x:v>
      </x:c>
      <x:c r="D32" s="32"/>
      <x:c r="E32" s="32">
        <x:v>0.02</x:v>
      </x:c>
      <x:c r="F32" s="35">
        <x:v>0.1</x:v>
      </x:c>
      <x:c r="G32" s="32"/>
      <x:c r="H32" s="16"/>
    </x:row>
    <x:row r="33" ht="21.75" customHeight="1">
      <x:c r="A33" s="2"/>
      <x:c r="B33" s="2"/>
      <x:c r="C33" s="2"/>
      <x:c r="D33" s="2"/>
      <x:c r="E33" s="2"/>
      <x:c r="F33" s="2"/>
      <x:c r="G33" s="2"/>
      <x:c r="H33" s="2"/>
    </x:row>
    <x:row r="34" ht="21.75" customHeight="1">
      <x:c r="A34" s="2"/>
      <x:c r="B34" s="2"/>
      <x:c r="C34" s="2"/>
      <x:c r="D34" s="2"/>
      <x:c r="E34" s="2"/>
      <x:c r="F34" s="2"/>
      <x:c r="G34" s="2"/>
      <x:c r="H34" s="2"/>
    </x:row>
    <x:row r="35" ht="27" customHeight="1">
      <x:c r="A35" s="4" t="s">
        <x:v>966</x:v>
      </x:c>
      <x:c r="B35" s="4"/>
      <x:c r="C35" s="4"/>
      <x:c r="D35" s="4"/>
      <x:c r="E35" s="4"/>
      <x:c r="F35" s="4"/>
      <x:c r="G35" s="4"/>
      <x:c r="H35" s="4"/>
    </x:row>
    <x:row r="36" ht="48.75" customHeight="1">
      <x:c r="A36" s="5" t="s">
        <x:v>956</x:v>
      </x:c>
      <x:c r="B36" s="5" t="s">
        <x:v>967</x:v>
      </x:c>
      <x:c r="C36" s="5" t="s">
        <x:v>968</x:v>
      </x:c>
      <x:c r="D36" s="5" t="s">
        <x:v>969</x:v>
      </x:c>
      <x:c r="E36" s="5" t="s">
        <x:v>970</x:v>
      </x:c>
      <x:c r="F36" s="2"/>
      <x:c r="G36" s="2"/>
      <x:c r="H36" s="2"/>
    </x:row>
    <x:row r="37" ht="79.5" customHeight="1">
      <x:c r="A37" s="26" t="s">
        <x:v>971</x:v>
      </x:c>
      <x:c r="B37" s="16"/>
      <x:c r="C37" s="16"/>
      <x:c r="D37" s="16"/>
      <x:c r="E37" s="16"/>
      <x:c r="F37" s="2"/>
      <x:c r="G37" s="2"/>
      <x:c r="H37" s="2"/>
    </x:row>
    <x:row r="38" ht="79.5" customHeight="1">
      <x:c r="A38" s="26" t="s">
        <x:v>972</x:v>
      </x:c>
      <x:c r="B38" s="16"/>
      <x:c r="C38" s="16"/>
      <x:c r="D38" s="16"/>
      <x:c r="E38" s="16"/>
      <x:c r="F38" s="2"/>
      <x:c r="G38" s="2"/>
      <x:c r="H38" s="2"/>
    </x:row>
    <x:row r="39" ht="21.75" customHeight="1">
      <x:c r="A39" s="2"/>
      <x:c r="B39" s="2"/>
      <x:c r="C39" s="2"/>
      <x:c r="D39" s="2"/>
      <x:c r="E39" s="2"/>
      <x:c r="F39" s="2"/>
      <x:c r="G39" s="2"/>
      <x:c r="H39" s="2"/>
    </x:row>
    <x:row r="40" ht="21.75" customHeight="1">
      <x:c r="A40" s="2"/>
      <x:c r="B40" s="2"/>
      <x:c r="C40" s="2"/>
      <x:c r="D40" s="2"/>
      <x:c r="E40" s="2"/>
      <x:c r="F40" s="2"/>
      <x:c r="G40" s="2"/>
      <x:c r="H40" s="2"/>
    </x:row>
    <x:row r="41" ht="27" customHeight="1">
      <x:c r="A41" s="4" t="s">
        <x:v>973</x:v>
      </x:c>
      <x:c r="B41" s="4"/>
      <x:c r="C41" s="4"/>
      <x:c r="D41" s="4"/>
      <x:c r="E41" s="4"/>
      <x:c r="F41" s="4"/>
      <x:c r="G41" s="4"/>
      <x:c r="H41" s="4"/>
    </x:row>
    <x:row r="42" ht="48.75" customHeight="1">
      <x:c r="A42" s="5" t="s">
        <x:v>974</x:v>
      </x:c>
      <x:c r="B42" s="5" t="s">
        <x:v>975</x:v>
      </x:c>
      <x:c r="C42" s="5" t="s">
        <x:v>976</x:v>
      </x:c>
      <x:c r="D42" s="2"/>
      <x:c r="E42" s="2"/>
      <x:c r="F42" s="2"/>
      <x:c r="G42" s="2"/>
      <x:c r="H42" s="2"/>
    </x:row>
    <x:row r="43" ht="79.5" customHeight="1">
      <x:c r="A43" s="36">
        <x:v>0.25</x:v>
      </x:c>
      <x:c r="B43" s="16"/>
      <x:c r="C43" s="16"/>
      <x:c r="D43" s="2"/>
      <x:c r="E43" s="2"/>
      <x:c r="F43" s="2"/>
      <x:c r="G43" s="2"/>
      <x:c r="H43" s="2"/>
    </x:row>
    <x:row r="44" ht="21.75" customHeight="1">
      <x:c r="A44" s="2"/>
      <x:c r="B44" s="2"/>
      <x:c r="C44" s="2"/>
      <x:c r="D44" s="2"/>
      <x:c r="E44" s="2"/>
      <x:c r="F44" s="2"/>
      <x:c r="G44" s="2"/>
      <x:c r="H44" s="2"/>
    </x:row>
    <x:row r="45" ht="21.75" customHeight="1">
      <x:c r="A45" s="2"/>
      <x:c r="B45" s="2"/>
      <x:c r="C45" s="2"/>
      <x:c r="D45" s="2"/>
      <x:c r="E45" s="2"/>
      <x:c r="F45" s="2"/>
      <x:c r="G45" s="2"/>
      <x:c r="H45" s="2"/>
    </x:row>
    <x:row r="46" ht="27" customHeight="1">
      <x:c r="A46" s="4" t="s">
        <x:v>278</x:v>
      </x:c>
      <x:c r="B46" s="4"/>
      <x:c r="C46" s="4"/>
      <x:c r="D46" s="4"/>
      <x:c r="E46" s="4"/>
      <x:c r="F46" s="4"/>
      <x:c r="G46" s="4"/>
      <x:c r="H46" s="4"/>
    </x:row>
    <x:row r="47" ht="22.5" customHeight="1">
      <x:c r="A47" s="3" t="s">
        <x:v>977</x:v>
      </x:c>
      <x:c r="B47" s="3"/>
      <x:c r="C47" s="3"/>
      <x:c r="D47" s="3"/>
      <x:c r="E47" s="3"/>
      <x:c r="F47" s="3"/>
      <x:c r="G47" s="3"/>
      <x:c r="H47" s="3"/>
    </x:row>
    <x:row r="48" ht="22.5" customHeight="1">
      <x:c r="A48" s="3" t="s">
        <x:v>978</x:v>
      </x:c>
      <x:c r="B48" s="3"/>
      <x:c r="C48" s="3"/>
      <x:c r="D48" s="3"/>
      <x:c r="E48" s="3"/>
      <x:c r="F48" s="3"/>
      <x:c r="G48" s="3"/>
      <x:c r="H48" s="3"/>
    </x:row>
    <x:row r="49" ht="22.5" customHeight="1">
      <x:c r="A49" s="3" t="s">
        <x:v>979</x:v>
      </x:c>
      <x:c r="B49" s="3"/>
      <x:c r="C49" s="3"/>
      <x:c r="D49" s="3"/>
      <x:c r="E49" s="3"/>
      <x:c r="F49" s="3"/>
      <x:c r="G49" s="3"/>
      <x:c r="H49" s="3"/>
    </x:row>
    <x:row r="50" ht="22.5" customHeight="1">
      <x:c r="A50" s="3" t="s">
        <x:v>980</x:v>
      </x:c>
      <x:c r="B50" s="3"/>
      <x:c r="C50" s="3"/>
      <x:c r="D50" s="3"/>
      <x:c r="E50" s="3"/>
      <x:c r="F50" s="3"/>
      <x:c r="G50" s="3"/>
      <x:c r="H50" s="3"/>
    </x:row>
    <x:row r="51" ht="22.5" customHeight="1">
      <x:c r="A51" s="3" t="s">
        <x:v>981</x:v>
      </x:c>
      <x:c r="B51" s="3"/>
      <x:c r="C51" s="3"/>
      <x:c r="D51" s="3"/>
      <x:c r="E51" s="3"/>
      <x:c r="F51" s="3"/>
      <x:c r="G51" s="3"/>
      <x:c r="H51" s="3"/>
    </x:row>
    <x:row r="52" ht="22.5" customHeight="1">
      <x:c r="A52" s="3" t="s">
        <x:v>982</x:v>
      </x:c>
      <x:c r="B52" s="3"/>
      <x:c r="C52" s="3"/>
      <x:c r="D52" s="3"/>
      <x:c r="E52" s="3"/>
      <x:c r="F52" s="3"/>
      <x:c r="G52" s="3"/>
      <x:c r="H52" s="3"/>
    </x:row>
    <x:row r="53" ht="22.5" customHeight="1">
      <x:c r="A53" s="3" t="s">
        <x:v>983</x:v>
      </x:c>
      <x:c r="B53" s="3"/>
      <x:c r="C53" s="3"/>
      <x:c r="D53" s="3"/>
      <x:c r="E53" s="3"/>
      <x:c r="F53" s="3"/>
      <x:c r="G53" s="3"/>
      <x:c r="H53" s="3"/>
    </x:row>
    <x:row r="54" ht="22.5" customHeight="1">
      <x:c r="A54" s="3" t="s">
        <x:v>984</x:v>
      </x:c>
      <x:c r="B54" s="3"/>
      <x:c r="C54" s="3"/>
      <x:c r="D54" s="3"/>
      <x:c r="E54" s="3"/>
      <x:c r="F54" s="3"/>
      <x:c r="G54" s="3"/>
      <x:c r="H54" s="3"/>
    </x:row>
    <x:row r="55" ht="22.5" customHeight="1">
      <x:c r="A55" s="3" t="s">
        <x:v>985</x:v>
      </x:c>
      <x:c r="B55" s="3"/>
      <x:c r="C55" s="3"/>
      <x:c r="D55" s="3"/>
      <x:c r="E55" s="3"/>
      <x:c r="F55" s="3"/>
      <x:c r="G55" s="3"/>
      <x:c r="H55" s="3"/>
    </x:row>
    <x:row r="56" ht="22.5" customHeight="1">
      <x:c r="A56" s="3" t="s">
        <x:v>986</x:v>
      </x:c>
      <x:c r="B56" s="3"/>
      <x:c r="C56" s="3"/>
      <x:c r="D56" s="3"/>
      <x:c r="E56" s="3"/>
      <x:c r="F56" s="3"/>
      <x:c r="G56" s="3"/>
      <x:c r="H56" s="3"/>
    </x:row>
    <x:row r="57" ht="22.5" customHeight="1">
      <x:c r="A57" s="3" t="s">
        <x:v>987</x:v>
      </x:c>
      <x:c r="B57" s="3"/>
      <x:c r="C57" s="3"/>
      <x:c r="D57" s="3"/>
      <x:c r="E57" s="3"/>
      <x:c r="F57" s="3"/>
      <x:c r="G57" s="3"/>
      <x:c r="H57" s="3"/>
    </x:row>
    <x:row r="58" ht="22.5" customHeight="1">
      <x:c r="A58" s="3" t="s">
        <x:v>988</x:v>
      </x:c>
      <x:c r="B58" s="3"/>
      <x:c r="C58" s="3"/>
      <x:c r="D58" s="3"/>
      <x:c r="E58" s="3"/>
      <x:c r="F58" s="3"/>
      <x:c r="G58" s="3"/>
      <x:c r="H58" s="3"/>
    </x:row>
    <x:row r="59" ht="22.5" customHeight="1">
      <x:c r="A59" s="3" t="s">
        <x:v>989</x:v>
      </x:c>
      <x:c r="B59" s="3"/>
      <x:c r="C59" s="3"/>
      <x:c r="D59" s="3"/>
      <x:c r="E59" s="3"/>
      <x:c r="F59" s="3"/>
      <x:c r="G59" s="3"/>
      <x:c r="H59" s="3"/>
    </x:row>
    <x:row r="60" ht="22.5" customHeight="1">
      <x:c r="A60" s="3" t="s">
        <x:v>990</x:v>
      </x:c>
      <x:c r="B60" s="3"/>
      <x:c r="C60" s="3"/>
      <x:c r="D60" s="3"/>
      <x:c r="E60" s="3"/>
      <x:c r="F60" s="3"/>
      <x:c r="G60" s="3"/>
      <x:c r="H60" s="3"/>
    </x:row>
    <x:row r="61" ht="22.5" customHeight="1">
      <x:c r="A61" s="3" t="s">
        <x:v>991</x:v>
      </x:c>
      <x:c r="B61" s="3"/>
      <x:c r="C61" s="3"/>
      <x:c r="D61" s="3"/>
      <x:c r="E61" s="3"/>
      <x:c r="F61" s="3"/>
      <x:c r="G61" s="3"/>
      <x:c r="H61" s="3"/>
    </x:row>
    <x:row r="62" ht="27" customHeight="1">
      <x:c r="A62" s="4" t="s">
        <x:v>421</x:v>
      </x:c>
      <x:c r="B62" s="4"/>
      <x:c r="C62" s="4"/>
      <x:c r="D62" s="4"/>
      <x:c r="E62" s="4"/>
      <x:c r="F62" s="4"/>
      <x:c r="G62" s="4"/>
      <x:c r="H62" s="4"/>
    </x:row>
    <x:row r="63" ht="22.5" customHeight="1">
      <x:c r="A63" s="10" t="s">
        <x:v>992</x:v>
      </x:c>
      <x:c r="B63" s="10"/>
      <x:c r="C63" s="10"/>
      <x:c r="D63" s="10"/>
      <x:c r="E63" s="10"/>
      <x:c r="F63" s="10"/>
      <x:c r="G63" s="10"/>
      <x:c r="H63" s="10"/>
    </x:row>
    <x:row r="64" ht="22.5" customHeight="1">
      <x:c r="A64" s="3" t="s">
        <x:v>993</x:v>
      </x:c>
      <x:c r="B64" s="3"/>
      <x:c r="C64" s="3"/>
      <x:c r="D64" s="3"/>
      <x:c r="E64" s="3"/>
      <x:c r="F64" s="3"/>
      <x:c r="G64" s="3"/>
      <x:c r="H64" s="3"/>
    </x:row>
    <x:row r="65" ht="22.5" customHeight="1">
      <x:c r="A65" s="3" t="s">
        <x:v>994</x:v>
      </x:c>
      <x:c r="B65" s="3"/>
      <x:c r="C65" s="3"/>
      <x:c r="D65" s="3"/>
      <x:c r="E65" s="3"/>
      <x:c r="F65" s="3"/>
      <x:c r="G65" s="3"/>
      <x:c r="H65" s="3"/>
    </x:row>
    <x:row r="66" ht="22.5" customHeight="1">
      <x:c r="A66" s="3" t="s">
        <x:v>995</x:v>
      </x:c>
      <x:c r="B66" s="3"/>
      <x:c r="C66" s="3"/>
      <x:c r="D66" s="3"/>
      <x:c r="E66" s="3"/>
      <x:c r="F66" s="3"/>
      <x:c r="G66" s="3"/>
      <x:c r="H66" s="3"/>
    </x:row>
    <x:row r="67" ht="22.5" customHeight="1">
      <x:c r="A67" s="3" t="s">
        <x:v>996</x:v>
      </x:c>
      <x:c r="B67" s="3"/>
      <x:c r="C67" s="3"/>
      <x:c r="D67" s="3"/>
      <x:c r="E67" s="3"/>
      <x:c r="F67" s="3"/>
      <x:c r="G67" s="3"/>
      <x:c r="H67" s="3"/>
    </x:row>
    <x:row r="68" ht="22.5" customHeight="1">
      <x:c r="A68" s="3" t="s">
        <x:v>997</x:v>
      </x:c>
      <x:c r="B68" s="3"/>
      <x:c r="C68" s="3"/>
      <x:c r="D68" s="3"/>
      <x:c r="E68" s="3"/>
      <x:c r="F68" s="3"/>
      <x:c r="G68" s="3"/>
      <x:c r="H68" s="3"/>
    </x:row>
    <x:row r="69" ht="22.5" customHeight="1">
      <x:c r="A69" s="3" t="s">
        <x:v>998</x:v>
      </x:c>
      <x:c r="B69" s="3"/>
      <x:c r="C69" s="3"/>
      <x:c r="D69" s="3"/>
      <x:c r="E69" s="3"/>
      <x:c r="F69" s="3"/>
      <x:c r="G69" s="3"/>
      <x:c r="H69" s="3"/>
    </x:row>
    <x:row r="70" ht="22.5" customHeight="1">
      <x:c r="A70" s="3" t="s">
        <x:v>999</x:v>
      </x:c>
      <x:c r="B70" s="3"/>
      <x:c r="C70" s="3"/>
      <x:c r="D70" s="3"/>
      <x:c r="E70" s="3"/>
      <x:c r="F70" s="3"/>
      <x:c r="G70" s="3"/>
      <x:c r="H70" s="3"/>
    </x:row>
    <x:row r="71" ht="27" customHeight="1">
      <x:c r="A71" s="4" t="s">
        <x:v>1000</x:v>
      </x:c>
      <x:c r="B71" s="4"/>
      <x:c r="C71" s="4"/>
      <x:c r="D71" s="4"/>
      <x:c r="E71" s="4"/>
      <x:c r="F71" s="4"/>
      <x:c r="G71" s="4"/>
      <x:c r="H71" s="4"/>
    </x:row>
    <x:row r="72" ht="48.75" customHeight="1">
      <x:c r="A72" s="5" t="s">
        <x:v>530</x:v>
      </x:c>
      <x:c r="B72" s="5" t="s">
        <x:v>1001</x:v>
      </x:c>
      <x:c r="C72" s="5" t="s">
        <x:v>1002</x:v>
      </x:c>
      <x:c r="D72" s="2"/>
      <x:c r="E72" s="2"/>
      <x:c r="F72" s="2"/>
      <x:c r="G72" s="2"/>
      <x:c r="H72" s="2"/>
    </x:row>
    <x:row r="73" ht="117" customHeight="1">
      <x:c r="A73" s="15" t="s">
        <x:v>962</x:v>
      </x:c>
      <x:c r="B73" s="15" t="s">
        <x:v>1003</x:v>
      </x:c>
      <x:c r="C73" s="15" t="s">
        <x:v>1004</x:v>
      </x:c>
      <x:c r="D73" s="2"/>
      <x:c r="E73" s="2"/>
      <x:c r="F73" s="2"/>
      <x:c r="G73" s="2"/>
      <x:c r="H73" s="2"/>
    </x:row>
    <x:row r="74" ht="87" customHeight="1">
      <x:c r="A74" s="15" t="s">
        <x:v>963</x:v>
      </x:c>
      <x:c r="B74" s="15" t="s">
        <x:v>1005</x:v>
      </x:c>
      <x:c r="C74" s="15" t="s">
        <x:v>1006</x:v>
      </x:c>
      <x:c r="D74" s="2"/>
      <x:c r="E74" s="2"/>
      <x:c r="F74" s="2"/>
      <x:c r="G74" s="2"/>
      <x:c r="H74" s="2"/>
    </x:row>
    <x:row r="75" ht="102" customHeight="1">
      <x:c r="A75" s="15" t="s">
        <x:v>964</x:v>
      </x:c>
      <x:c r="B75" s="15" t="s">
        <x:v>1007</x:v>
      </x:c>
      <x:c r="C75" s="15" t="s">
        <x:v>1008</x:v>
      </x:c>
      <x:c r="D75" s="2"/>
      <x:c r="E75" s="2"/>
      <x:c r="F75" s="2"/>
      <x:c r="G75" s="2"/>
      <x:c r="H75" s="2"/>
    </x:row>
    <x:row r="76" ht="102" customHeight="1">
      <x:c r="A76" s="15" t="s">
        <x:v>965</x:v>
      </x:c>
      <x:c r="B76" s="15" t="s">
        <x:v>1009</x:v>
      </x:c>
      <x:c r="C76" s="15" t="s">
        <x:v>1010</x:v>
      </x:c>
      <x:c r="D76" s="2"/>
      <x:c r="E76" s="2"/>
      <x:c r="F76" s="2"/>
      <x:c r="G76" s="2"/>
      <x:c r="H76" s="2"/>
    </x:row>
    <x:row r="77" ht="21.75" customHeight="1">
      <x:c r="A77" s="2"/>
      <x:c r="B77" s="2"/>
      <x:c r="C77" s="2"/>
      <x:c r="D77" s="2"/>
      <x:c r="E77" s="2"/>
      <x:c r="F77" s="2"/>
      <x:c r="G77" s="2"/>
      <x:c r="H77" s="2"/>
    </x:row>
    <x:row r="78" ht="21.75" customHeight="1">
      <x:c r="A78" s="2"/>
      <x:c r="B78" s="2"/>
      <x:c r="C78" s="2"/>
      <x:c r="D78" s="2"/>
      <x:c r="E78" s="2"/>
      <x:c r="F78" s="2"/>
      <x:c r="G78" s="2"/>
      <x:c r="H78" s="2"/>
    </x:row>
    <x:row r="79" ht="22.5" customHeight="1">
      <x:c r="A79" s="3" t="s">
        <x:v>302</x:v>
      </x:c>
      <x:c r="B79" s="3"/>
      <x:c r="C79" s="3"/>
      <x:c r="D79" s="3"/>
      <x:c r="E79" s="3"/>
      <x:c r="F79" s="3"/>
      <x:c r="G79" s="3"/>
      <x:c r="H79" s="3"/>
    </x:row>
    <x:row r="80" ht="22.5" customHeight="1">
      <x:c r="A80" s="3" t="s">
        <x:v>1011</x:v>
      </x:c>
      <x:c r="B80" s="3"/>
      <x:c r="C80" s="3"/>
      <x:c r="D80" s="3"/>
      <x:c r="E80" s="3"/>
      <x:c r="F80" s="3"/>
      <x:c r="G80" s="3"/>
      <x:c r="H80" s="3"/>
    </x:row>
    <x:row r="81" ht="22.5" customHeight="1">
      <x:c r="A81" s="3" t="s">
        <x:v>1012</x:v>
      </x:c>
      <x:c r="B81" s="3"/>
      <x:c r="C81" s="3"/>
      <x:c r="D81" s="3"/>
      <x:c r="E81" s="3"/>
      <x:c r="F81" s="3"/>
      <x:c r="G81" s="3"/>
      <x:c r="H81" s="3"/>
    </x:row>
    <x:row r="82" ht="22.5" customHeight="1">
      <x:c r="A82" s="3" t="s">
        <x:v>1013</x:v>
      </x:c>
      <x:c r="B82" s="3"/>
      <x:c r="C82" s="3"/>
      <x:c r="D82" s="3"/>
      <x:c r="E82" s="3"/>
      <x:c r="F82" s="3"/>
      <x:c r="G82" s="3"/>
      <x:c r="H82" s="3"/>
    </x:row>
    <x:row r="83" ht="22.5" customHeight="1">
      <x:c r="A83" s="3" t="s">
        <x:v>1014</x:v>
      </x:c>
      <x:c r="B83" s="3"/>
      <x:c r="C83" s="3"/>
      <x:c r="D83" s="3"/>
      <x:c r="E83" s="3"/>
      <x:c r="F83" s="3"/>
      <x:c r="G83" s="3"/>
      <x:c r="H83" s="3"/>
    </x:row>
    <x:row r="84" ht="22.5" customHeight="1">
      <x:c r="A84" s="3" t="s">
        <x:v>1015</x:v>
      </x:c>
      <x:c r="B84" s="3"/>
      <x:c r="C84" s="3"/>
      <x:c r="D84" s="3"/>
      <x:c r="E84" s="3"/>
      <x:c r="F84" s="3"/>
      <x:c r="G84" s="3"/>
      <x:c r="H84" s="3"/>
    </x:row>
    <x:row r="85" ht="22.5" customHeight="1">
      <x:c r="A85" s="3" t="s">
        <x:v>1016</x:v>
      </x:c>
      <x:c r="B85" s="3"/>
      <x:c r="C85" s="3"/>
      <x:c r="D85" s="3"/>
      <x:c r="E85" s="3"/>
      <x:c r="F85" s="3"/>
      <x:c r="G85" s="3"/>
      <x:c r="H85" s="3"/>
    </x:row>
    <x:row r="86" ht="22.5" customHeight="1">
      <x:c r="A86" s="3" t="s">
        <x:v>1017</x:v>
      </x:c>
      <x:c r="B86" s="3"/>
      <x:c r="C86" s="3"/>
      <x:c r="D86" s="3"/>
      <x:c r="E86" s="3"/>
      <x:c r="F86" s="3"/>
      <x:c r="G86" s="3"/>
      <x:c r="H86" s="3"/>
    </x:row>
    <x:row r="87" ht="21.75" customHeight="1">
      <x:c r="A87" s="2"/>
      <x:c r="B87" s="2"/>
      <x:c r="C87" s="2"/>
      <x:c r="D87" s="2"/>
      <x:c r="E87" s="2"/>
      <x:c r="F87" s="2"/>
      <x:c r="G87" s="2"/>
      <x:c r="H87" s="2"/>
    </x:row>
    <x:row r="88" ht="21.75" customHeight="1">
      <x:c r="A88" s="6" t="s">
        <x:v>380</x:v>
      </x:c>
      <x:c r="B88" s="2"/>
      <x:c r="C88" s="2"/>
      <x:c r="D88" s="2"/>
      <x:c r="E88" s="2"/>
      <x:c r="F88" s="2"/>
      <x:c r="G88" s="2"/>
      <x:c r="H88" s="2"/>
    </x:row>
    <x:row r="89" ht="22.5" customHeight="1">
      <x:c r="A89" s="3" t="s">
        <x:v>745</x:v>
      </x:c>
      <x:c r="B89" s="3"/>
      <x:c r="C89" s="3"/>
      <x:c r="D89" s="3"/>
      <x:c r="E89" s="3"/>
      <x:c r="F89" s="3"/>
      <x:c r="G89" s="3"/>
      <x:c r="H89" s="3"/>
    </x:row>
    <x:row r="90" ht="22.5" customHeight="1">
      <x:c r="A90" s="3" t="s">
        <x:v>746</x:v>
      </x:c>
      <x:c r="B90" s="3"/>
      <x:c r="C90" s="3"/>
      <x:c r="D90" s="3"/>
      <x:c r="E90" s="3"/>
      <x:c r="F90" s="3"/>
      <x:c r="G90" s="3"/>
      <x:c r="H90" s="3"/>
    </x:row>
    <x:row r="91" ht="21.75" customHeight="1"/>
    <x:row r="92" ht="21.75" customHeight="1"/>
    <x:row r="93" ht="21.75" customHeight="1"/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21.75" customHeight="1"/>
    <x:row r="277" ht="21.75" customHeight="1"/>
    <x:row r="278" ht="21.75" customHeight="1"/>
    <x:row r="279" ht="21.75" customHeight="1"/>
    <x:row r="280" ht="21.75" customHeight="1"/>
    <x:row r="281" ht="21.75" customHeight="1"/>
    <x:row r="282" ht="21.75" customHeight="1"/>
    <x:row r="283" ht="21.75" customHeight="1"/>
    <x:row r="284" ht="21.75" customHeight="1"/>
    <x:row r="285" ht="21.75" customHeight="1"/>
    <x:row r="286" ht="21.75" customHeight="1"/>
    <x:row r="287" ht="21.75" customHeight="1"/>
    <x:row r="288" ht="21.75" customHeight="1"/>
    <x:row r="289" ht="21.75" customHeight="1"/>
    <x:row r="290" ht="21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88" location="'С09_Готовность'!A1"/>
  </x:hyperlink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7" customWidth="1"/>
    <x:col min="2" max="2" width="31" customWidth="1"/>
    <x:col min="3" max="5" width="27" customWidth="1"/>
    <x:col min="6" max="6" width="29" customWidth="1"/>
    <x:col min="7" max="26" width="8.630000114440918" customWidth="1"/>
  </x:cols>
  <x:sheetData>
    <x:row r="1" ht="28.5" customHeight="1">
      <x:c r="A1" s="1" t="s">
        <x:v>1018</x:v>
      </x:c>
      <x:c r="B1" s="1"/>
      <x:c r="C1" s="1"/>
      <x:c r="D1" s="1"/>
      <x:c r="E1" s="1"/>
      <x:c r="F1" s="1"/>
    </x:row>
    <x:row r="2" ht="21.75" customHeight="1">
      <x:c r="A2" s="2"/>
      <x:c r="B2" s="2"/>
      <x:c r="C2" s="2"/>
      <x:c r="D2" s="2"/>
      <x:c r="E2" s="2"/>
      <x:c r="F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  <x:c r="F3" s="2"/>
    </x:row>
    <x:row r="4" ht="21.75" customHeight="1">
      <x:c r="A4" s="6" t="s">
        <x:v>748</x:v>
      </x:c>
      <x:c r="B4" s="2"/>
      <x:c r="C4" s="2"/>
      <x:c r="D4" s="2"/>
      <x:c r="E4" s="2"/>
      <x:c r="F4" s="2"/>
    </x:row>
    <x:row r="5" ht="22.5" customHeight="1">
      <x:c r="A5" s="10" t="s">
        <x:v>1019</x:v>
      </x:c>
      <x:c r="B5" s="10"/>
      <x:c r="C5" s="10"/>
      <x:c r="D5" s="10"/>
      <x:c r="E5" s="10"/>
      <x:c r="F5" s="10"/>
    </x:row>
    <x:row r="6" ht="22.5" customHeight="1">
      <x:c r="A6" s="3" t="s">
        <x:v>1020</x:v>
      </x:c>
      <x:c r="B6" s="3"/>
      <x:c r="C6" s="3"/>
      <x:c r="D6" s="3"/>
      <x:c r="E6" s="3"/>
      <x:c r="F6" s="3"/>
    </x:row>
    <x:row r="7" ht="22.5" customHeight="1">
      <x:c r="A7" s="3" t="s">
        <x:v>1021</x:v>
      </x:c>
      <x:c r="B7" s="3"/>
      <x:c r="C7" s="3"/>
      <x:c r="D7" s="3"/>
      <x:c r="E7" s="3"/>
      <x:c r="F7" s="3"/>
    </x:row>
    <x:row r="8" ht="22.5" customHeight="1">
      <x:c r="A8" s="3" t="s">
        <x:v>1022</x:v>
      </x:c>
      <x:c r="B8" s="3"/>
      <x:c r="C8" s="3"/>
      <x:c r="D8" s="3"/>
      <x:c r="E8" s="3"/>
      <x:c r="F8" s="3"/>
    </x:row>
    <x:row r="9" ht="22.5" customHeight="1">
      <x:c r="A9" s="3" t="s">
        <x:v>1023</x:v>
      </x:c>
      <x:c r="B9" s="3"/>
      <x:c r="C9" s="3"/>
      <x:c r="D9" s="3"/>
      <x:c r="E9" s="3"/>
      <x:c r="F9" s="3"/>
    </x:row>
    <x:row r="10" ht="22.5" customHeight="1">
      <x:c r="A10" s="3" t="s">
        <x:v>1024</x:v>
      </x:c>
      <x:c r="B10" s="3"/>
      <x:c r="C10" s="3"/>
      <x:c r="D10" s="3"/>
      <x:c r="E10" s="3"/>
      <x:c r="F10" s="3"/>
    </x:row>
    <x:row r="11" ht="22.5" customHeight="1">
      <x:c r="A11" s="3" t="s">
        <x:v>1025</x:v>
      </x:c>
      <x:c r="B11" s="3"/>
      <x:c r="C11" s="3"/>
      <x:c r="D11" s="3"/>
      <x:c r="E11" s="3"/>
      <x:c r="F11" s="3"/>
    </x:row>
    <x:row r="12" ht="22.5" customHeight="1">
      <x:c r="A12" s="3" t="s">
        <x:v>1026</x:v>
      </x:c>
      <x:c r="B12" s="3"/>
      <x:c r="C12" s="3"/>
      <x:c r="D12" s="3"/>
      <x:c r="E12" s="3"/>
      <x:c r="F12" s="3"/>
    </x:row>
    <x:row r="13" ht="22.5" customHeight="1">
      <x:c r="A13" s="3" t="s">
        <x:v>1027</x:v>
      </x:c>
      <x:c r="B13" s="3"/>
      <x:c r="C13" s="3"/>
      <x:c r="D13" s="3"/>
      <x:c r="E13" s="3"/>
      <x:c r="F13" s="3"/>
    </x:row>
    <x:row r="14" ht="22.5" customHeight="1">
      <x:c r="A14" s="3" t="s">
        <x:v>1028</x:v>
      </x:c>
      <x:c r="B14" s="3"/>
      <x:c r="C14" s="3"/>
      <x:c r="D14" s="3"/>
      <x:c r="E14" s="3"/>
      <x:c r="F14" s="3"/>
    </x:row>
    <x:row r="15" ht="22.5" customHeight="1">
      <x:c r="A15" s="3" t="s">
        <x:v>1029</x:v>
      </x:c>
      <x:c r="B15" s="3"/>
      <x:c r="C15" s="3"/>
      <x:c r="D15" s="3"/>
      <x:c r="E15" s="3"/>
      <x:c r="F15" s="3"/>
    </x:row>
    <x:row r="16" ht="22.5" customHeight="1">
      <x:c r="A16" s="3" t="s">
        <x:v>245</x:v>
      </x:c>
      <x:c r="B16" s="3"/>
      <x:c r="C16" s="3"/>
      <x:c r="D16" s="3"/>
      <x:c r="E16" s="3"/>
      <x:c r="F16" s="3"/>
    </x:row>
    <x:row r="17" ht="27" customHeight="1">
      <x:c r="A17" s="4" t="s">
        <x:v>1030</x:v>
      </x:c>
      <x:c r="B17" s="4"/>
      <x:c r="C17" s="4"/>
      <x:c r="D17" s="4"/>
      <x:c r="E17" s="4"/>
      <x:c r="F17" s="4"/>
    </x:row>
    <x:row r="18" ht="48.75" customHeight="1">
      <x:c r="A18" s="5" t="s">
        <x:v>1031</x:v>
      </x:c>
      <x:c r="B18" s="5" t="s">
        <x:v>1032</x:v>
      </x:c>
      <x:c r="C18" s="5" t="s">
        <x:v>777</x:v>
      </x:c>
      <x:c r="D18" s="5" t="s">
        <x:v>1033</x:v>
      </x:c>
      <x:c r="E18" s="2"/>
      <x:c r="F18" s="2"/>
    </x:row>
    <x:row r="19" ht="79.5" customHeight="1">
      <x:c r="A19" s="26" t="s">
        <x:v>1034</x:v>
      </x:c>
      <x:c r="B19" s="16"/>
      <x:c r="C19" s="16"/>
      <x:c r="D19" s="16"/>
      <x:c r="E19" s="2"/>
      <x:c r="F19" s="2"/>
    </x:row>
    <x:row r="20" ht="79.5" customHeight="1">
      <x:c r="A20" s="26" t="s">
        <x:v>1035</x:v>
      </x:c>
      <x:c r="B20" s="16"/>
      <x:c r="C20" s="16"/>
      <x:c r="D20" s="16"/>
      <x:c r="E20" s="2"/>
      <x:c r="F20" s="2"/>
    </x:row>
    <x:row r="21" ht="79.5" customHeight="1">
      <x:c r="A21" s="26" t="s">
        <x:v>1036</x:v>
      </x:c>
      <x:c r="B21" s="16"/>
      <x:c r="C21" s="16"/>
      <x:c r="D21" s="16"/>
      <x:c r="E21" s="2"/>
      <x:c r="F21" s="2"/>
    </x:row>
    <x:row r="22" ht="79.5" customHeight="1">
      <x:c r="A22" s="26" t="s">
        <x:v>1037</x:v>
      </x:c>
      <x:c r="B22" s="16"/>
      <x:c r="C22" s="16"/>
      <x:c r="D22" s="16"/>
      <x:c r="E22" s="2"/>
      <x:c r="F22" s="2"/>
    </x:row>
    <x:row r="23" ht="21.75" customHeight="1">
      <x:c r="A23" s="2"/>
      <x:c r="B23" s="2"/>
      <x:c r="C23" s="2"/>
      <x:c r="D23" s="2"/>
      <x:c r="E23" s="2"/>
      <x:c r="F23" s="2"/>
    </x:row>
    <x:row r="24" ht="21.75" customHeight="1">
      <x:c r="A24" s="2"/>
      <x:c r="B24" s="2"/>
      <x:c r="C24" s="2"/>
      <x:c r="D24" s="2"/>
      <x:c r="E24" s="2"/>
      <x:c r="F24" s="2"/>
    </x:row>
    <x:row r="25" ht="27" customHeight="1">
      <x:c r="A25" s="4" t="s">
        <x:v>1038</x:v>
      </x:c>
      <x:c r="B25" s="4"/>
      <x:c r="C25" s="4"/>
      <x:c r="D25" s="4"/>
      <x:c r="E25" s="4"/>
      <x:c r="F25" s="4"/>
    </x:row>
    <x:row r="26" ht="48.75" customHeight="1">
      <x:c r="A26" s="5" t="s">
        <x:v>632</x:v>
      </x:c>
      <x:c r="B26" s="5" t="s">
        <x:v>1039</x:v>
      </x:c>
      <x:c r="C26" s="5" t="s">
        <x:v>1040</x:v>
      </x:c>
      <x:c r="D26" s="5" t="s">
        <x:v>1041</x:v>
      </x:c>
      <x:c r="E26" s="5" t="s">
        <x:v>793</x:v>
      </x:c>
      <x:c r="F26" s="5" t="s">
        <x:v>1042</x:v>
      </x:c>
    </x:row>
    <x:row r="27" ht="79.5" customHeight="1">
      <x:c r="A27" s="7" t="s">
        <x:v>1043</x:v>
      </x:c>
      <x:c r="B27" s="16"/>
      <x:c r="C27" s="29" t="str">
        <x:f t="shared" ref="C27:C28" si="1">IF(COUNT(D130:E130)&lt;2,"",TEXT(D130,"yyyy-mm-dd")&amp;" / "&amp;TEXT(E130,"yyyy-mm-dd"))</x:f>
        <x:v>2026-11-30 / 2026-12-02</x:v>
      </x:c>
      <x:c r="D27" s="29" t="str">
        <x:f t="shared" ref="D27:D28" si="2">IF(COUNT(F130,B136)&lt;2,"",TEXT(F130,"0.00")&amp;" / "&amp;TEXT(B136,"0.00"))</x:f>
        <x:v>4.55 / 4.75</x:v>
      </x:c>
      <x:c r="E27" s="16"/>
      <x:c r="F27" s="14" t="s">
        <x:v>1044</x:v>
      </x:c>
    </x:row>
    <x:row r="28" ht="79.5" customHeight="1">
      <x:c r="A28" s="7" t="s">
        <x:v>1045</x:v>
      </x:c>
      <x:c r="B28" s="16"/>
      <x:c r="C28" s="29" t="str">
        <x:f t="shared" si="1"/>
        <x:v>2026-11-27 / 2026-11-30</x:v>
      </x:c>
      <x:c r="D28" s="29" t="str">
        <x:f t="shared" si="2"/>
        <x:v>4,55 / 4,71</x:v>
      </x:c>
      <x:c r="E28" s="16"/>
      <x:c r="F28" s="14" t="s">
        <x:v>1044</x:v>
      </x:c>
    </x:row>
    <x:row r="29" ht="21.75" customHeight="1">
      <x:c r="A29" s="2"/>
      <x:c r="B29" s="2"/>
      <x:c r="C29" s="2"/>
      <x:c r="D29" s="2"/>
      <x:c r="E29" s="2"/>
      <x:c r="F29" s="2"/>
    </x:row>
    <x:row r="30" ht="21.75" customHeight="1">
      <x:c r="A30" s="2"/>
      <x:c r="B30" s="2"/>
      <x:c r="C30" s="2"/>
      <x:c r="D30" s="2"/>
      <x:c r="E30" s="2"/>
      <x:c r="F30" s="2"/>
    </x:row>
    <x:row r="31" ht="27" customHeight="1">
      <x:c r="A31" s="4" t="s">
        <x:v>180</x:v>
      </x:c>
      <x:c r="B31" s="4"/>
      <x:c r="C31" s="4"/>
      <x:c r="D31" s="4"/>
      <x:c r="E31" s="4"/>
      <x:c r="F31" s="4"/>
    </x:row>
    <x:row r="32" ht="48.75" customHeight="1">
      <x:c r="A32" s="5" t="s">
        <x:v>272</x:v>
      </x:c>
      <x:c r="B32" s="5" t="s">
        <x:v>878</x:v>
      </x:c>
      <x:c r="C32" s="5" t="s">
        <x:v>1046</x:v>
      </x:c>
      <x:c r="D32" s="5" t="s">
        <x:v>1047</x:v>
      </x:c>
      <x:c r="E32" s="2"/>
      <x:c r="F32" s="2"/>
    </x:row>
    <x:row r="33" ht="79.5" customHeight="1">
      <x:c r="A33" s="16"/>
      <x:c r="B33" s="16"/>
      <x:c r="C33" s="16"/>
      <x:c r="D33" s="16"/>
      <x:c r="E33" s="2"/>
      <x:c r="F33" s="2"/>
    </x:row>
    <x:row r="34" ht="21.75" customHeight="1">
      <x:c r="A34" s="2"/>
      <x:c r="B34" s="2"/>
      <x:c r="C34" s="2"/>
      <x:c r="D34" s="2"/>
      <x:c r="E34" s="2"/>
      <x:c r="F34" s="2"/>
    </x:row>
    <x:row r="35" ht="21.75" customHeight="1">
      <x:c r="A35" s="2"/>
      <x:c r="B35" s="2"/>
      <x:c r="C35" s="2"/>
      <x:c r="D35" s="2"/>
      <x:c r="E35" s="2"/>
      <x:c r="F35" s="2"/>
    </x:row>
    <x:row r="36" ht="27" customHeight="1">
      <x:c r="A36" s="4" t="s">
        <x:v>1048</x:v>
      </x:c>
      <x:c r="B36" s="4"/>
      <x:c r="C36" s="4"/>
      <x:c r="D36" s="4"/>
      <x:c r="E36" s="4"/>
      <x:c r="F36" s="4"/>
    </x:row>
    <x:row r="37" ht="48.75" customHeight="1">
      <x:c r="A37" s="5" t="s">
        <x:v>829</x:v>
      </x:c>
      <x:c r="B37" s="5" t="s">
        <x:v>1049</x:v>
      </x:c>
      <x:c r="C37" s="5" t="s">
        <x:v>761</x:v>
      </x:c>
      <x:c r="D37" s="5" t="s">
        <x:v>212</x:v>
      </x:c>
      <x:c r="E37" s="5" t="s">
        <x:v>905</x:v>
      </x:c>
      <x:c r="F37" s="2"/>
    </x:row>
    <x:row r="38" ht="79.5" customHeight="1">
      <x:c r="A38" s="7" t="s">
        <x:v>1050</x:v>
      </x:c>
      <x:c r="B38" s="28" t="s">
        <x:v>1051</x:v>
      </x:c>
      <x:c r="C38" s="28" t="s">
        <x:v>1052</x:v>
      </x:c>
      <x:c r="D38" s="37" t="n">
        <x:f>IF(COUNT(B149:B153)=0,"",IFERROR(COUNT(B149:B153)/B144*7,""))</x:f>
        <x:v>2.5</x:v>
      </x:c>
      <x:c r="E38" s="16"/>
      <x:c r="F38" s="2"/>
    </x:row>
    <x:row r="39" ht="79.5" customHeight="1">
      <x:c r="A39" s="7" t="s">
        <x:v>1053</x:v>
      </x:c>
      <x:c r="B39" s="28" t="s">
        <x:v>1051</x:v>
      </x:c>
      <x:c r="C39" s="28" t="s">
        <x:v>1054</x:v>
      </x:c>
      <x:c r="D39" s="37" t="n">
        <x:f>IF(COUNT(B149:B153)=0,"",IFERROR(AVERAGE(C149:C153),""))</x:f>
        <x:v>6</x:v>
      </x:c>
      <x:c r="E39" s="16"/>
      <x:c r="F39" s="2"/>
    </x:row>
    <x:row r="40" ht="79.5" customHeight="1">
      <x:c r="A40" s="7" t="s">
        <x:v>1055</x:v>
      </x:c>
      <x:c r="B40" s="28" t="s">
        <x:v>1051</x:v>
      </x:c>
      <x:c r="C40" s="28" t="s">
        <x:v>1056</x:v>
      </x:c>
      <x:c r="D40" s="38" t="n">
        <x:f>IF(COUNT(B149:B153)=0,"",IFERROR(SUM(D149:D153)/COUNT(B149:B153),""))</x:f>
        <x:v>0.4</x:v>
      </x:c>
      <x:c r="E40" s="16"/>
      <x:c r="F40" s="2"/>
    </x:row>
    <x:row r="41" ht="79.5" customHeight="1">
      <x:c r="A41" s="7" t="s">
        <x:v>1057</x:v>
      </x:c>
      <x:c r="B41" s="28" t="s">
        <x:v>1051</x:v>
      </x:c>
      <x:c r="C41" s="28" t="s">
        <x:v>1058</x:v>
      </x:c>
      <x:c r="D41" s="37" t="n">
        <x:f>IF(COUNT(B149:B153)=0,"",IFERROR(AVERAGEIF(D149:D153,1,E149:E153),""))</x:f>
        <x:v>11</x:v>
      </x:c>
      <x:c r="E41" s="16"/>
      <x:c r="F41" s="2"/>
    </x:row>
    <x:row r="42" ht="79.5" customHeight="1">
      <x:c r="A42" s="7" t="s">
        <x:v>1059</x:v>
      </x:c>
      <x:c r="B42" s="28" t="s">
        <x:v>1051</x:v>
      </x:c>
      <x:c r="C42" s="28" t="s">
        <x:v>1060</x:v>
      </x:c>
      <x:c r="D42" s="38" t="n">
        <x:f>IF(COUNT(B149:B153)=0,"",IFERROR(SUM(F149:F153)/COUNT(B149:B153),""))</x:f>
        <x:v>0.4</x:v>
      </x:c>
      <x:c r="E42" s="16"/>
      <x:c r="F42" s="2"/>
    </x:row>
    <x:row r="43" ht="21.75" customHeight="1">
      <x:c r="A43" s="2"/>
      <x:c r="B43" s="2"/>
      <x:c r="C43" s="2"/>
      <x:c r="D43" s="2"/>
      <x:c r="E43" s="2"/>
      <x:c r="F43" s="2"/>
    </x:row>
    <x:row r="44" ht="21.75" customHeight="1">
      <x:c r="A44" s="2"/>
      <x:c r="B44" s="2"/>
      <x:c r="C44" s="2"/>
      <x:c r="D44" s="2"/>
      <x:c r="E44" s="2"/>
      <x:c r="F44" s="2"/>
    </x:row>
    <x:row r="45" ht="27" customHeight="1">
      <x:c r="A45" s="4" t="s">
        <x:v>278</x:v>
      </x:c>
      <x:c r="B45" s="4"/>
      <x:c r="C45" s="4"/>
      <x:c r="D45" s="4"/>
      <x:c r="E45" s="4"/>
      <x:c r="F45" s="4"/>
    </x:row>
    <x:row r="46" ht="22.5" customHeight="1">
      <x:c r="A46" s="3" t="s">
        <x:v>1061</x:v>
      </x:c>
      <x:c r="B46" s="3"/>
      <x:c r="C46" s="3"/>
      <x:c r="D46" s="3"/>
      <x:c r="E46" s="3"/>
      <x:c r="F46" s="3"/>
    </x:row>
    <x:row r="47" ht="22.5" customHeight="1">
      <x:c r="A47" s="3" t="s">
        <x:v>1062</x:v>
      </x:c>
      <x:c r="B47" s="3"/>
      <x:c r="C47" s="3"/>
      <x:c r="D47" s="3"/>
      <x:c r="E47" s="3"/>
      <x:c r="F47" s="3"/>
    </x:row>
    <x:row r="48" ht="22.5" customHeight="1">
      <x:c r="A48" s="3" t="s">
        <x:v>1063</x:v>
      </x:c>
      <x:c r="B48" s="3"/>
      <x:c r="C48" s="3"/>
      <x:c r="D48" s="3"/>
      <x:c r="E48" s="3"/>
      <x:c r="F48" s="3"/>
    </x:row>
    <x:row r="49" ht="22.5" customHeight="1">
      <x:c r="A49" s="3" t="s">
        <x:v>1064</x:v>
      </x:c>
      <x:c r="B49" s="3"/>
      <x:c r="C49" s="3"/>
      <x:c r="D49" s="3"/>
      <x:c r="E49" s="3"/>
      <x:c r="F49" s="3"/>
    </x:row>
    <x:row r="50" ht="22.5" customHeight="1">
      <x:c r="A50" s="3" t="s">
        <x:v>1065</x:v>
      </x:c>
      <x:c r="B50" s="3"/>
      <x:c r="C50" s="3"/>
      <x:c r="D50" s="3"/>
      <x:c r="E50" s="3"/>
      <x:c r="F50" s="3"/>
    </x:row>
    <x:row r="51" ht="22.5" customHeight="1">
      <x:c r="A51" s="3" t="s">
        <x:v>1066</x:v>
      </x:c>
      <x:c r="B51" s="3"/>
      <x:c r="C51" s="3"/>
      <x:c r="D51" s="3"/>
      <x:c r="E51" s="3"/>
      <x:c r="F51" s="3"/>
    </x:row>
    <x:row r="52" ht="22.5" customHeight="1">
      <x:c r="A52" s="3" t="s">
        <x:v>1067</x:v>
      </x:c>
      <x:c r="B52" s="3"/>
      <x:c r="C52" s="3"/>
      <x:c r="D52" s="3"/>
      <x:c r="E52" s="3"/>
      <x:c r="F52" s="3"/>
    </x:row>
    <x:row r="53" ht="22.5" customHeight="1">
      <x:c r="A53" s="3" t="s">
        <x:v>1068</x:v>
      </x:c>
      <x:c r="B53" s="3"/>
      <x:c r="C53" s="3"/>
      <x:c r="D53" s="3"/>
      <x:c r="E53" s="3"/>
      <x:c r="F53" s="3"/>
    </x:row>
    <x:row r="54" ht="22.5" customHeight="1">
      <x:c r="A54" s="3" t="s">
        <x:v>1069</x:v>
      </x:c>
      <x:c r="B54" s="3"/>
      <x:c r="C54" s="3"/>
      <x:c r="D54" s="3"/>
      <x:c r="E54" s="3"/>
      <x:c r="F54" s="3"/>
    </x:row>
    <x:row r="55" ht="22.5" customHeight="1">
      <x:c r="A55" s="3" t="s">
        <x:v>1070</x:v>
      </x:c>
      <x:c r="B55" s="3"/>
      <x:c r="C55" s="3"/>
      <x:c r="D55" s="3"/>
      <x:c r="E55" s="3"/>
      <x:c r="F55" s="3"/>
    </x:row>
    <x:row r="56" ht="22.5" customHeight="1">
      <x:c r="A56" s="3" t="s">
        <x:v>1071</x:v>
      </x:c>
      <x:c r="B56" s="3"/>
      <x:c r="C56" s="3"/>
      <x:c r="D56" s="3"/>
      <x:c r="E56" s="3"/>
      <x:c r="F56" s="3"/>
    </x:row>
    <x:row r="57" ht="22.5" customHeight="1">
      <x:c r="A57" s="3" t="s">
        <x:v>1072</x:v>
      </x:c>
      <x:c r="B57" s="3"/>
      <x:c r="C57" s="3"/>
      <x:c r="D57" s="3"/>
      <x:c r="E57" s="3"/>
      <x:c r="F57" s="3"/>
    </x:row>
    <x:row r="58" ht="22.5" customHeight="1">
      <x:c r="A58" s="3" t="s">
        <x:v>1073</x:v>
      </x:c>
      <x:c r="B58" s="3"/>
      <x:c r="C58" s="3"/>
      <x:c r="D58" s="3"/>
      <x:c r="E58" s="3"/>
      <x:c r="F58" s="3"/>
    </x:row>
    <x:row r="59" ht="22.5" customHeight="1">
      <x:c r="A59" s="3" t="s">
        <x:v>1074</x:v>
      </x:c>
      <x:c r="B59" s="3"/>
      <x:c r="C59" s="3"/>
      <x:c r="D59" s="3"/>
      <x:c r="E59" s="3"/>
      <x:c r="F59" s="3"/>
    </x:row>
    <x:row r="60" ht="22.5" customHeight="1">
      <x:c r="A60" s="3" t="s">
        <x:v>1075</x:v>
      </x:c>
      <x:c r="B60" s="3"/>
      <x:c r="C60" s="3"/>
      <x:c r="D60" s="3"/>
      <x:c r="E60" s="3"/>
      <x:c r="F60" s="3"/>
    </x:row>
    <x:row r="61" ht="27" customHeight="1">
      <x:c r="A61" s="4" t="s">
        <x:v>421</x:v>
      </x:c>
      <x:c r="B61" s="4"/>
      <x:c r="C61" s="4"/>
      <x:c r="D61" s="4"/>
      <x:c r="E61" s="4"/>
      <x:c r="F61" s="4"/>
    </x:row>
    <x:row r="62" ht="22.5" customHeight="1">
      <x:c r="A62" s="10" t="s">
        <x:v>1076</x:v>
      </x:c>
      <x:c r="B62" s="10"/>
      <x:c r="C62" s="10"/>
      <x:c r="D62" s="10"/>
      <x:c r="E62" s="10"/>
      <x:c r="F62" s="10"/>
    </x:row>
    <x:row r="63" ht="22.5" customHeight="1">
      <x:c r="A63" s="3" t="s">
        <x:v>1077</x:v>
      </x:c>
      <x:c r="B63" s="3"/>
      <x:c r="C63" s="3"/>
      <x:c r="D63" s="3"/>
      <x:c r="E63" s="3"/>
      <x:c r="F63" s="3"/>
    </x:row>
    <x:row r="64" ht="22.5" customHeight="1">
      <x:c r="A64" s="3" t="s">
        <x:v>1078</x:v>
      </x:c>
      <x:c r="B64" s="3"/>
      <x:c r="C64" s="3"/>
      <x:c r="D64" s="3"/>
      <x:c r="E64" s="3"/>
      <x:c r="F64" s="3"/>
    </x:row>
    <x:row r="65" ht="22.5" customHeight="1">
      <x:c r="A65" s="3" t="s">
        <x:v>1079</x:v>
      </x:c>
      <x:c r="B65" s="3"/>
      <x:c r="C65" s="3"/>
      <x:c r="D65" s="3"/>
      <x:c r="E65" s="3"/>
      <x:c r="F65" s="3"/>
    </x:row>
    <x:row r="66" ht="22.5" customHeight="1">
      <x:c r="A66" s="3" t="s">
        <x:v>1080</x:v>
      </x:c>
      <x:c r="B66" s="3"/>
      <x:c r="C66" s="3"/>
      <x:c r="D66" s="3"/>
      <x:c r="E66" s="3"/>
      <x:c r="F66" s="3"/>
    </x:row>
    <x:row r="67" ht="22.5" customHeight="1">
      <x:c r="A67" s="3" t="s">
        <x:v>1081</x:v>
      </x:c>
      <x:c r="B67" s="3"/>
      <x:c r="C67" s="3"/>
      <x:c r="D67" s="3"/>
      <x:c r="E67" s="3"/>
      <x:c r="F67" s="3"/>
    </x:row>
    <x:row r="68" ht="22.5" customHeight="1">
      <x:c r="A68" s="3" t="s">
        <x:v>1082</x:v>
      </x:c>
      <x:c r="B68" s="3"/>
      <x:c r="C68" s="3"/>
      <x:c r="D68" s="3"/>
      <x:c r="E68" s="3"/>
      <x:c r="F68" s="3"/>
    </x:row>
    <x:row r="69" ht="22.5" customHeight="1">
      <x:c r="A69" s="3" t="s">
        <x:v>1083</x:v>
      </x:c>
      <x:c r="B69" s="3"/>
      <x:c r="C69" s="3"/>
      <x:c r="D69" s="3"/>
      <x:c r="E69" s="3"/>
      <x:c r="F69" s="3"/>
    </x:row>
    <x:row r="70" ht="22.5" customHeight="1">
      <x:c r="A70" s="3" t="s">
        <x:v>1084</x:v>
      </x:c>
      <x:c r="B70" s="3"/>
      <x:c r="C70" s="3"/>
      <x:c r="D70" s="3"/>
      <x:c r="E70" s="3"/>
      <x:c r="F70" s="3"/>
    </x:row>
    <x:row r="71" ht="22.5" customHeight="1">
      <x:c r="A71" s="3" t="s">
        <x:v>1085</x:v>
      </x:c>
      <x:c r="B71" s="3"/>
      <x:c r="C71" s="3"/>
      <x:c r="D71" s="3"/>
      <x:c r="E71" s="3"/>
      <x:c r="F71" s="3"/>
    </x:row>
    <x:row r="72" ht="22.5" customHeight="1">
      <x:c r="A72" s="3" t="s">
        <x:v>1086</x:v>
      </x:c>
      <x:c r="B72" s="3"/>
      <x:c r="C72" s="3"/>
      <x:c r="D72" s="3"/>
      <x:c r="E72" s="3"/>
      <x:c r="F72" s="3"/>
    </x:row>
    <x:row r="73" ht="22.5" customHeight="1">
      <x:c r="A73" s="3" t="s">
        <x:v>1087</x:v>
      </x:c>
      <x:c r="B73" s="3"/>
      <x:c r="C73" s="3"/>
      <x:c r="D73" s="3"/>
      <x:c r="E73" s="3"/>
      <x:c r="F73" s="3"/>
    </x:row>
    <x:row r="74" ht="22.5" customHeight="1">
      <x:c r="A74" s="3" t="s">
        <x:v>1088</x:v>
      </x:c>
      <x:c r="B74" s="3"/>
      <x:c r="C74" s="3"/>
      <x:c r="D74" s="3"/>
      <x:c r="E74" s="3"/>
      <x:c r="F74" s="3"/>
    </x:row>
    <x:row r="75" ht="22.5" customHeight="1">
      <x:c r="A75" s="3" t="s">
        <x:v>1089</x:v>
      </x:c>
      <x:c r="B75" s="3"/>
      <x:c r="C75" s="3"/>
      <x:c r="D75" s="3"/>
      <x:c r="E75" s="3"/>
      <x:c r="F75" s="3"/>
    </x:row>
    <x:row r="76" ht="22.5" customHeight="1">
      <x:c r="A76" s="10" t="s">
        <x:v>1090</x:v>
      </x:c>
      <x:c r="B76" s="10"/>
      <x:c r="C76" s="10"/>
      <x:c r="D76" s="10"/>
      <x:c r="E76" s="10"/>
      <x:c r="F76" s="10"/>
    </x:row>
    <x:row r="77" ht="22.5" customHeight="1">
      <x:c r="A77" s="3" t="s">
        <x:v>1091</x:v>
      </x:c>
      <x:c r="B77" s="3"/>
      <x:c r="C77" s="3"/>
      <x:c r="D77" s="3"/>
      <x:c r="E77" s="3"/>
      <x:c r="F77" s="3"/>
    </x:row>
    <x:row r="78" ht="22.5" customHeight="1">
      <x:c r="A78" s="3" t="s">
        <x:v>1092</x:v>
      </x:c>
      <x:c r="B78" s="3"/>
      <x:c r="C78" s="3"/>
      <x:c r="D78" s="3"/>
      <x:c r="E78" s="3"/>
      <x:c r="F78" s="3"/>
    </x:row>
    <x:row r="79" ht="22.5" customHeight="1">
      <x:c r="A79" s="3" t="s">
        <x:v>1093</x:v>
      </x:c>
      <x:c r="B79" s="3"/>
      <x:c r="C79" s="3"/>
      <x:c r="D79" s="3"/>
      <x:c r="E79" s="3"/>
      <x:c r="F79" s="3"/>
    </x:row>
    <x:row r="80" ht="22.5" customHeight="1">
      <x:c r="A80" s="3" t="s">
        <x:v>1094</x:v>
      </x:c>
      <x:c r="B80" s="3"/>
      <x:c r="C80" s="3"/>
      <x:c r="D80" s="3"/>
      <x:c r="E80" s="3"/>
      <x:c r="F80" s="3"/>
    </x:row>
    <x:row r="81" ht="22.5" customHeight="1">
      <x:c r="A81" s="3" t="s">
        <x:v>1095</x:v>
      </x:c>
      <x:c r="B81" s="3"/>
      <x:c r="C81" s="3"/>
      <x:c r="D81" s="3"/>
      <x:c r="E81" s="3"/>
      <x:c r="F81" s="3"/>
    </x:row>
    <x:row r="82" ht="22.5" customHeight="1">
      <x:c r="A82" s="3" t="s">
        <x:v>1096</x:v>
      </x:c>
      <x:c r="B82" s="3"/>
      <x:c r="C82" s="3"/>
      <x:c r="D82" s="3"/>
      <x:c r="E82" s="3"/>
      <x:c r="F82" s="3"/>
    </x:row>
    <x:row r="83" ht="22.5" customHeight="1">
      <x:c r="A83" s="3" t="s">
        <x:v>1097</x:v>
      </x:c>
      <x:c r="B83" s="3"/>
      <x:c r="C83" s="3"/>
      <x:c r="D83" s="3"/>
      <x:c r="E83" s="3"/>
      <x:c r="F83" s="3"/>
    </x:row>
    <x:row r="84" ht="22.5" customHeight="1">
      <x:c r="A84" s="3" t="s">
        <x:v>1098</x:v>
      </x:c>
      <x:c r="B84" s="3"/>
      <x:c r="C84" s="3"/>
      <x:c r="D84" s="3"/>
      <x:c r="E84" s="3"/>
      <x:c r="F84" s="3"/>
    </x:row>
    <x:row r="85" ht="22.5" customHeight="1">
      <x:c r="A85" s="3" t="s">
        <x:v>1099</x:v>
      </x:c>
      <x:c r="B85" s="3"/>
      <x:c r="C85" s="3"/>
      <x:c r="D85" s="3"/>
      <x:c r="E85" s="3"/>
      <x:c r="F85" s="3"/>
    </x:row>
    <x:row r="86" ht="27" customHeight="1">
      <x:c r="A86" s="4" t="s">
        <x:v>1100</x:v>
      </x:c>
      <x:c r="B86" s="4"/>
      <x:c r="C86" s="4"/>
      <x:c r="D86" s="4"/>
      <x:c r="E86" s="4"/>
      <x:c r="F86" s="4"/>
    </x:row>
    <x:row r="87" ht="48.75" customHeight="1">
      <x:c r="A87" s="5" t="s">
        <x:v>632</x:v>
      </x:c>
      <x:c r="B87" s="5" t="s">
        <x:v>793</x:v>
      </x:c>
      <x:c r="C87" s="2"/>
      <x:c r="D87" s="2"/>
      <x:c r="E87" s="2"/>
      <x:c r="F87" s="2"/>
    </x:row>
    <x:row r="88" ht="57" customHeight="1">
      <x:c r="A88" s="15" t="s">
        <x:v>1043</x:v>
      </x:c>
      <x:c r="B88" s="15" t="s">
        <x:v>1101</x:v>
      </x:c>
      <x:c r="C88" s="2"/>
      <x:c r="D88" s="2"/>
      <x:c r="E88" s="2"/>
      <x:c r="F88" s="2"/>
    </x:row>
    <x:row r="89" ht="87" customHeight="1">
      <x:c r="A89" s="15" t="s">
        <x:v>1102</x:v>
      </x:c>
      <x:c r="B89" s="15" t="s">
        <x:v>1103</x:v>
      </x:c>
      <x:c r="C89" s="2"/>
      <x:c r="D89" s="2"/>
      <x:c r="E89" s="2"/>
      <x:c r="F89" s="2"/>
    </x:row>
    <x:row r="90" ht="21.75" customHeight="1">
      <x:c r="A90" s="2"/>
      <x:c r="B90" s="2"/>
      <x:c r="C90" s="2"/>
      <x:c r="D90" s="2"/>
      <x:c r="E90" s="2"/>
      <x:c r="F90" s="2"/>
    </x:row>
    <x:row r="91" ht="21.75" customHeight="1">
      <x:c r="A91" s="2"/>
      <x:c r="B91" s="2"/>
      <x:c r="C91" s="2"/>
      <x:c r="D91" s="2"/>
      <x:c r="E91" s="2"/>
      <x:c r="F91" s="2"/>
    </x:row>
    <x:row r="92" ht="22.5" customHeight="1">
      <x:c r="A92" s="3" t="s">
        <x:v>302</x:v>
      </x:c>
      <x:c r="B92" s="3"/>
      <x:c r="C92" s="3"/>
      <x:c r="D92" s="3"/>
      <x:c r="E92" s="3"/>
      <x:c r="F92" s="3"/>
    </x:row>
    <x:row r="93" ht="27" customHeight="1">
      <x:c r="A93" s="4" t="s">
        <x:v>1104</x:v>
      </x:c>
      <x:c r="B93" s="4"/>
      <x:c r="C93" s="4"/>
      <x:c r="D93" s="4"/>
      <x:c r="E93" s="4"/>
      <x:c r="F93" s="4"/>
    </x:row>
    <x:row r="94" ht="48.75" customHeight="1">
      <x:c r="A94" s="5" t="s">
        <x:v>829</x:v>
      </x:c>
      <x:c r="B94" s="5" t="s">
        <x:v>830</x:v>
      </x:c>
      <x:c r="C94" s="2"/>
      <x:c r="D94" s="2"/>
      <x:c r="E94" s="2"/>
      <x:c r="F94" s="2"/>
    </x:row>
    <x:row r="95" ht="37.5" customHeight="1">
      <x:c r="A95" s="15" t="s">
        <x:v>1105</x:v>
      </x:c>
      <x:c r="B95" s="32">
        <x:v>0.86</x:v>
      </x:c>
      <x:c r="C95" s="2"/>
      <x:c r="D95" s="2"/>
      <x:c r="E95" s="2"/>
      <x:c r="F95" s="2"/>
    </x:row>
    <x:row r="96" ht="37.5" customHeight="1">
      <x:c r="A96" s="15" t="s">
        <x:v>1106</x:v>
      </x:c>
      <x:c r="B96" s="32">
        <x:v>0.81</x:v>
      </x:c>
      <x:c r="C96" s="2"/>
      <x:c r="D96" s="2"/>
      <x:c r="E96" s="2"/>
      <x:c r="F96" s="2"/>
    </x:row>
    <x:row r="97" ht="37.5" customHeight="1">
      <x:c r="A97" s="15" t="s">
        <x:v>1036</x:v>
      </x:c>
      <x:c r="B97" s="27">
        <x:v>3.0</x:v>
      </x:c>
      <x:c r="C97" s="2"/>
      <x:c r="D97" s="2"/>
      <x:c r="E97" s="2"/>
      <x:c r="F97" s="2"/>
    </x:row>
    <x:row r="98" ht="37.5" customHeight="1">
      <x:c r="A98" s="15" t="s">
        <x:v>1107</x:v>
      </x:c>
      <x:c r="B98" s="32">
        <x:v>4.1</x:v>
      </x:c>
      <x:c r="C98" s="2"/>
      <x:c r="D98" s="2"/>
      <x:c r="E98" s="2"/>
      <x:c r="F98" s="2"/>
    </x:row>
    <x:row r="99" ht="21.75" customHeight="1">
      <x:c r="A99" s="2"/>
      <x:c r="B99" s="2"/>
      <x:c r="C99" s="2"/>
      <x:c r="D99" s="2"/>
      <x:c r="E99" s="2"/>
      <x:c r="F99" s="2"/>
    </x:row>
    <x:row r="100" ht="21.75" customHeight="1">
      <x:c r="A100" s="2"/>
      <x:c r="B100" s="2"/>
      <x:c r="C100" s="2"/>
      <x:c r="D100" s="2"/>
      <x:c r="E100" s="2"/>
      <x:c r="F100" s="2"/>
    </x:row>
    <x:row r="101" ht="27" customHeight="1">
      <x:c r="A101" s="4" t="s">
        <x:v>1108</x:v>
      </x:c>
      <x:c r="B101" s="4"/>
      <x:c r="C101" s="4"/>
      <x:c r="D101" s="4"/>
      <x:c r="E101" s="4"/>
      <x:c r="F101" s="4"/>
    </x:row>
    <x:row r="102" ht="48.75" customHeight="1">
      <x:c r="A102" s="5" t="s">
        <x:v>537</x:v>
      </x:c>
      <x:c r="B102" s="5" t="s">
        <x:v>1109</x:v>
      </x:c>
      <x:c r="C102" s="5" t="s">
        <x:v>1110</x:v>
      </x:c>
      <x:c r="D102" s="2"/>
      <x:c r="E102" s="2"/>
      <x:c r="F102" s="2"/>
    </x:row>
    <x:row r="103" ht="37.5" customHeight="1">
      <x:c r="A103" s="15">
        <x:v>1.0</x:v>
      </x:c>
      <x:c r="B103" s="27">
        <x:v>4.0</x:v>
      </x:c>
      <x:c r="C103" s="27">
        <x:v>7.0</x:v>
      </x:c>
      <x:c r="D103" s="2"/>
      <x:c r="E103" s="2"/>
      <x:c r="F103" s="2"/>
    </x:row>
    <x:row r="104" ht="37.5" customHeight="1">
      <x:c r="A104" s="15">
        <x:v>2.0</x:v>
      </x:c>
      <x:c r="B104" s="27">
        <x:v>5.0</x:v>
      </x:c>
      <x:c r="C104" s="27">
        <x:v>9.0</x:v>
      </x:c>
      <x:c r="D104" s="2"/>
      <x:c r="E104" s="2"/>
      <x:c r="F104" s="2"/>
    </x:row>
    <x:row r="105" ht="37.5" customHeight="1">
      <x:c r="A105" s="15">
        <x:v>3.0</x:v>
      </x:c>
      <x:c r="B105" s="27">
        <x:v>6.0</x:v>
      </x:c>
      <x:c r="C105" s="27">
        <x:v>11.0</x:v>
      </x:c>
      <x:c r="D105" s="2"/>
      <x:c r="E105" s="2"/>
      <x:c r="F105" s="2"/>
    </x:row>
    <x:row r="106" ht="37.5" customHeight="1">
      <x:c r="A106" s="15">
        <x:v>4.0</x:v>
      </x:c>
      <x:c r="B106" s="27">
        <x:v>7.0</x:v>
      </x:c>
      <x:c r="C106" s="27">
        <x:v>13.0</x:v>
      </x:c>
      <x:c r="D106" s="2"/>
      <x:c r="E106" s="2"/>
      <x:c r="F106" s="2"/>
    </x:row>
    <x:row r="107" ht="37.5" customHeight="1">
      <x:c r="A107" s="15">
        <x:v>5.0</x:v>
      </x:c>
      <x:c r="B107" s="27">
        <x:v>8.0</x:v>
      </x:c>
      <x:c r="C107" s="27">
        <x:v>15.0</x:v>
      </x:c>
      <x:c r="D107" s="2"/>
      <x:c r="E107" s="2"/>
      <x:c r="F107" s="2"/>
    </x:row>
    <x:row r="108" ht="21.75" customHeight="1">
      <x:c r="A108" s="2"/>
      <x:c r="B108" s="2"/>
      <x:c r="C108" s="2"/>
      <x:c r="D108" s="2"/>
      <x:c r="E108" s="2"/>
      <x:c r="F108" s="2"/>
    </x:row>
    <x:row r="109" ht="21.75" customHeight="1">
      <x:c r="A109" s="2"/>
      <x:c r="B109" s="2"/>
      <x:c r="C109" s="2"/>
      <x:c r="D109" s="2"/>
      <x:c r="E109" s="2"/>
      <x:c r="F109" s="2"/>
    </x:row>
    <x:row r="110" ht="27" customHeight="1">
      <x:c r="A110" s="4" t="s">
        <x:v>1111</x:v>
      </x:c>
      <x:c r="B110" s="4"/>
      <x:c r="C110" s="4"/>
      <x:c r="D110" s="4"/>
      <x:c r="E110" s="4"/>
      <x:c r="F110" s="4"/>
    </x:row>
    <x:row r="111" ht="48.75" customHeight="1">
      <x:c r="A111" s="5" t="s">
        <x:v>1112</x:v>
      </x:c>
      <x:c r="B111" s="5" t="s">
        <x:v>1113</x:v>
      </x:c>
      <x:c r="C111" s="2"/>
      <x:c r="D111" s="2"/>
      <x:c r="E111" s="2"/>
      <x:c r="F111" s="2"/>
    </x:row>
    <x:row r="112" ht="37.5" customHeight="1">
      <x:c r="A112" s="15" t="s">
        <x:v>1109</x:v>
      </x:c>
      <x:c r="B112" s="39" t="n">
        <x:f>IF(COUNT(B103:B107)=0,"",AVERAGE(B103:B107))</x:f>
        <x:v>6</x:v>
      </x:c>
      <x:c r="C112" s="2"/>
      <x:c r="D112" s="2"/>
      <x:c r="E112" s="2"/>
      <x:c r="F112" s="2"/>
    </x:row>
    <x:row r="113" ht="37.5" customHeight="1">
      <x:c r="A113" s="15" t="s">
        <x:v>1110</x:v>
      </x:c>
      <x:c r="B113" s="39" t="n">
        <x:f>IF(COUNT(C103:C107)=0,"",AVERAGE(C103:C107))</x:f>
        <x:v>11</x:v>
      </x:c>
      <x:c r="C113" s="2"/>
      <x:c r="D113" s="2"/>
      <x:c r="E113" s="2"/>
      <x:c r="F113" s="2"/>
    </x:row>
    <x:row r="114" ht="21.75" customHeight="1">
      <x:c r="A114" s="2"/>
      <x:c r="B114" s="2"/>
      <x:c r="C114" s="2"/>
      <x:c r="D114" s="2"/>
      <x:c r="E114" s="2"/>
      <x:c r="F114" s="2"/>
    </x:row>
    <x:row r="115" ht="21.75" customHeight="1">
      <x:c r="A115" s="2"/>
      <x:c r="B115" s="2"/>
      <x:c r="C115" s="2"/>
      <x:c r="D115" s="2"/>
      <x:c r="E115" s="2"/>
      <x:c r="F115" s="2"/>
    </x:row>
    <x:row r="116" ht="27" customHeight="1">
      <x:c r="A116" s="4" t="s">
        <x:v>1114</x:v>
      </x:c>
      <x:c r="B116" s="4"/>
      <x:c r="C116" s="4"/>
      <x:c r="D116" s="4"/>
      <x:c r="E116" s="4"/>
      <x:c r="F116" s="4"/>
    </x:row>
    <x:row r="117" ht="48.75" customHeight="1">
      <x:c r="A117" s="5" t="s">
        <x:v>632</x:v>
      </x:c>
      <x:c r="B117" s="5" t="s">
        <x:v>1115</x:v>
      </x:c>
      <x:c r="C117" s="5" t="s">
        <x:v>1116</x:v>
      </x:c>
      <x:c r="D117" s="5" t="s">
        <x:v>1117</x:v>
      </x:c>
      <x:c r="E117" s="5" t="s">
        <x:v>1118</x:v>
      </x:c>
      <x:c r="F117" s="2"/>
    </x:row>
    <x:row r="118" ht="37.5" customHeight="1">
      <x:c r="A118" s="15" t="s">
        <x:v>1043</x:v>
      </x:c>
      <x:c r="B118" s="27">
        <x:v>4.0</x:v>
      </x:c>
      <x:c r="C118" s="27">
        <x:v>6.0</x:v>
      </x:c>
      <x:c r="D118" s="27">
        <x:v>3.0</x:v>
      </x:c>
      <x:c r="E118" s="27">
        <x:v>4.0</x:v>
      </x:c>
      <x:c r="F118" s="2"/>
    </x:row>
    <x:row r="119" ht="37.5" customHeight="1">
      <x:c r="A119" s="15" t="s">
        <x:v>1045</x:v>
      </x:c>
      <x:c r="B119" s="27">
        <x:v>3.0</x:v>
      </x:c>
      <x:c r="C119" s="27">
        <x:v>4.0</x:v>
      </x:c>
      <x:c r="D119" s="27">
        <x:v>3.0</x:v>
      </x:c>
      <x:c r="E119" s="27">
        <x:v>4.0</x:v>
      </x:c>
      <x:c r="F119" s="2"/>
    </x:row>
    <x:row r="120" ht="21.75" customHeight="1">
      <x:c r="A120" s="2"/>
      <x:c r="B120" s="2"/>
      <x:c r="C120" s="2"/>
      <x:c r="D120" s="2"/>
      <x:c r="E120" s="2"/>
      <x:c r="F120" s="2"/>
    </x:row>
    <x:row r="121" ht="21.75" customHeight="1">
      <x:c r="A121" s="2"/>
      <x:c r="B121" s="2"/>
      <x:c r="C121" s="2"/>
      <x:c r="D121" s="2"/>
      <x:c r="E121" s="2"/>
      <x:c r="F121" s="2"/>
    </x:row>
    <x:row r="122" ht="27" customHeight="1">
      <x:c r="A122" s="4" t="s">
        <x:v>1119</x:v>
      </x:c>
      <x:c r="B122" s="4"/>
      <x:c r="C122" s="4"/>
      <x:c r="D122" s="4"/>
      <x:c r="E122" s="4"/>
      <x:c r="F122" s="4"/>
    </x:row>
    <x:row r="123" ht="48.75" customHeight="1">
      <x:c r="A123" s="5" t="s">
        <x:v>632</x:v>
      </x:c>
      <x:c r="B123" s="5" t="s">
        <x:v>1120</x:v>
      </x:c>
      <x:c r="C123" s="5" t="s">
        <x:v>1121</x:v>
      </x:c>
      <x:c r="D123" s="2"/>
      <x:c r="E123" s="2"/>
      <x:c r="F123" s="2"/>
    </x:row>
    <x:row r="124" ht="37.5" customHeight="1">
      <x:c r="A124" s="15" t="s">
        <x:v>1043</x:v>
      </x:c>
      <x:c r="B124" s="32">
        <x:v>0.45</x:v>
      </x:c>
      <x:c r="C124" s="32">
        <x:v>0.65</x:v>
      </x:c>
      <x:c r="D124" s="2"/>
      <x:c r="E124" s="2"/>
      <x:c r="F124" s="2"/>
    </x:row>
    <x:row r="125" ht="37.5" customHeight="1">
      <x:c r="A125" s="15" t="s">
        <x:v>1045</x:v>
      </x:c>
      <x:c r="B125" s="32">
        <x:v>0.45</x:v>
      </x:c>
      <x:c r="C125" s="32">
        <x:v>0.61</x:v>
      </x:c>
      <x:c r="D125" s="2"/>
      <x:c r="E125" s="2"/>
      <x:c r="F125" s="2"/>
    </x:row>
    <x:row r="126" ht="21.75" customHeight="1">
      <x:c r="A126" s="2"/>
      <x:c r="B126" s="2"/>
      <x:c r="C126" s="2"/>
      <x:c r="D126" s="2"/>
      <x:c r="E126" s="2"/>
      <x:c r="F126" s="2"/>
    </x:row>
    <x:row r="127" ht="21.75" customHeight="1">
      <x:c r="A127" s="2"/>
      <x:c r="B127" s="2"/>
      <x:c r="C127" s="2"/>
      <x:c r="D127" s="2"/>
      <x:c r="E127" s="2"/>
      <x:c r="F127" s="2"/>
    </x:row>
    <x:row r="128" ht="27" customHeight="1">
      <x:c r="A128" s="4" t="s">
        <x:v>1122</x:v>
      </x:c>
      <x:c r="B128" s="4"/>
      <x:c r="C128" s="4"/>
      <x:c r="D128" s="4"/>
      <x:c r="E128" s="4"/>
      <x:c r="F128" s="4"/>
    </x:row>
    <x:row r="129" ht="48.75" customHeight="1">
      <x:c r="A129" s="5" t="s">
        <x:v>632</x:v>
      </x:c>
      <x:c r="B129" s="5" t="s">
        <x:v>1123</x:v>
      </x:c>
      <x:c r="C129" s="5" t="s">
        <x:v>1124</x:v>
      </x:c>
      <x:c r="D129" s="5" t="s">
        <x:v>1125</x:v>
      </x:c>
      <x:c r="E129" s="5" t="s">
        <x:v>1126</x:v>
      </x:c>
      <x:c r="F129" s="5" t="s">
        <x:v>1127</x:v>
      </x:c>
    </x:row>
    <x:row r="130" ht="37.5" customHeight="1">
      <x:c r="A130" s="15" t="s">
        <x:v>1043</x:v>
      </x:c>
      <x:c r="B130" s="39" t="n">
        <x:f t="shared" ref="B130:B131" si="4">IF(COUNT(B118:E118)&lt;4,"",MAX(B118,D118))</x:f>
        <x:v>4</x:v>
      </x:c>
      <x:c r="C130" s="39" t="n">
        <x:f t="shared" ref="C130:C131" si="5">IF(COUNT(B118:E118)&lt;4,"",MAX(C118,E118))</x:f>
        <x:v>6</x:v>
      </x:c>
      <x:c r="D130" s="40" t="n">
        <x:f t="shared" ref="D130:E130" si="3">IF(B130="","",WORKDAY(DATE(2026,11,24),B130))</x:f>
        <x:v>46356</x:v>
      </x:c>
      <x:c r="E130" s="40">
        <x:f t="shared" si="3"/>
        <x:v>46358</x:v>
      </x:c>
      <x:c r="F130" s="36" t="n">
        <x:f>IF(OR(B98="",B124=""),"",B98+B124)</x:f>
        <x:v>4.55</x:v>
      </x:c>
    </x:row>
    <x:row r="131" ht="37.5" customHeight="1">
      <x:c r="A131" s="15" t="s">
        <x:v>1045</x:v>
      </x:c>
      <x:c r="B131" s="39">
        <x:f t="shared" si="4"/>
        <x:v>3</x:v>
      </x:c>
      <x:c r="C131" s="39">
        <x:f t="shared" si="5"/>
        <x:v>4</x:v>
      </x:c>
      <x:c r="D131" s="40" t="n">
        <x:f t="shared" ref="D131:E131" si="6">IF(B131="","",WORKDAY(DATE(2026,11,24),B131))</x:f>
        <x:v>46353</x:v>
      </x:c>
      <x:c r="E131" s="40">
        <x:f t="shared" si="6"/>
        <x:v>46356</x:v>
      </x:c>
      <x:c r="F131" s="36" t="n">
        <x:f>IF(OR(B98="",B125=""),"",B98+B125)</x:f>
        <x:v>4.55</x:v>
      </x:c>
    </x:row>
    <x:row r="132" ht="21.75" customHeight="1">
      <x:c r="A132" s="2"/>
      <x:c r="B132" s="2"/>
      <x:c r="C132" s="2"/>
      <x:c r="D132" s="2"/>
      <x:c r="E132" s="2"/>
      <x:c r="F132" s="2"/>
    </x:row>
    <x:row r="133" ht="21.75" customHeight="1">
      <x:c r="A133" s="2"/>
      <x:c r="B133" s="2"/>
      <x:c r="C133" s="2"/>
      <x:c r="D133" s="2"/>
      <x:c r="E133" s="2"/>
      <x:c r="F133" s="2"/>
    </x:row>
    <x:row r="134" ht="27" customHeight="1">
      <x:c r="A134" s="4" t="s">
        <x:v>1128</x:v>
      </x:c>
      <x:c r="B134" s="4"/>
      <x:c r="C134" s="4"/>
      <x:c r="D134" s="4"/>
      <x:c r="E134" s="4"/>
      <x:c r="F134" s="4"/>
    </x:row>
    <x:row r="135" ht="48.75" customHeight="1">
      <x:c r="A135" s="5" t="s">
        <x:v>632</x:v>
      </x:c>
      <x:c r="B135" s="5" t="s">
        <x:v>1129</x:v>
      </x:c>
      <x:c r="C135" s="2"/>
      <x:c r="D135" s="2"/>
      <x:c r="E135" s="2"/>
      <x:c r="F135" s="2"/>
    </x:row>
    <x:row r="136" ht="37.5" customHeight="1">
      <x:c r="A136" s="15" t="s">
        <x:v>1043</x:v>
      </x:c>
      <x:c r="B136" s="36" t="n">
        <x:f>IF(OR(B98="",C124=""),"",B98+C124)</x:f>
        <x:v>4.75</x:v>
      </x:c>
      <x:c r="C136" s="2"/>
      <x:c r="D136" s="2"/>
      <x:c r="E136" s="2"/>
      <x:c r="F136" s="2"/>
    </x:row>
    <x:row r="137" ht="37.5" customHeight="1">
      <x:c r="A137" s="15" t="s">
        <x:v>1045</x:v>
      </x:c>
      <x:c r="B137" s="36" t="n">
        <x:f>IF(OR(B98="",C125=""),"",B98+C125)</x:f>
        <x:v>4.71</x:v>
      </x:c>
      <x:c r="C137" s="2"/>
      <x:c r="D137" s="2"/>
      <x:c r="E137" s="2"/>
      <x:c r="F137" s="2"/>
    </x:row>
    <x:row r="138" ht="21.75" customHeight="1">
      <x:c r="A138" s="2"/>
      <x:c r="B138" s="2"/>
      <x:c r="C138" s="2"/>
      <x:c r="D138" s="2"/>
      <x:c r="E138" s="2"/>
      <x:c r="F138" s="2"/>
    </x:row>
    <x:row r="139" ht="21.75" customHeight="1">
      <x:c r="A139" s="2"/>
      <x:c r="B139" s="2"/>
      <x:c r="C139" s="2"/>
      <x:c r="D139" s="2"/>
      <x:c r="E139" s="2"/>
      <x:c r="F139" s="2"/>
    </x:row>
    <x:row r="140" ht="22.5" customHeight="1">
      <x:c r="A140" s="3" t="s">
        <x:v>1130</x:v>
      </x:c>
      <x:c r="B140" s="3"/>
      <x:c r="C140" s="3"/>
      <x:c r="D140" s="3"/>
      <x:c r="E140" s="3"/>
      <x:c r="F140" s="3"/>
    </x:row>
    <x:row r="141" ht="22.5" customHeight="1">
      <x:c r="A141" s="3" t="s">
        <x:v>1131</x:v>
      </x:c>
      <x:c r="B141" s="3"/>
      <x:c r="C141" s="3"/>
      <x:c r="D141" s="3"/>
      <x:c r="E141" s="3"/>
      <x:c r="F141" s="3"/>
    </x:row>
    <x:row r="142" ht="27" customHeight="1">
      <x:c r="A142" s="4" t="s">
        <x:v>1132</x:v>
      </x:c>
      <x:c r="B142" s="4"/>
      <x:c r="C142" s="4"/>
      <x:c r="D142" s="4"/>
      <x:c r="E142" s="4"/>
      <x:c r="F142" s="4"/>
    </x:row>
    <x:row r="143" ht="48.75" customHeight="1">
      <x:c r="A143" s="5" t="s">
        <x:v>211</x:v>
      </x:c>
      <x:c r="B143" s="5" t="s">
        <x:v>830</x:v>
      </x:c>
      <x:c r="C143" s="2"/>
      <x:c r="D143" s="2"/>
      <x:c r="E143" s="2"/>
      <x:c r="F143" s="2"/>
    </x:row>
    <x:row r="144" ht="42" customHeight="1">
      <x:c r="A144" s="15" t="s">
        <x:v>1133</x:v>
      </x:c>
      <x:c r="B144" s="27">
        <x:v>14.0</x:v>
      </x:c>
      <x:c r="C144" s="2"/>
      <x:c r="D144" s="2"/>
      <x:c r="E144" s="2"/>
      <x:c r="F144" s="2"/>
    </x:row>
    <x:row r="145" ht="21.75" customHeight="1">
      <x:c r="A145" s="2"/>
      <x:c r="B145" s="2"/>
      <x:c r="C145" s="2"/>
      <x:c r="D145" s="2"/>
      <x:c r="E145" s="2"/>
      <x:c r="F145" s="2"/>
    </x:row>
    <x:row r="146" ht="21.75" customHeight="1">
      <x:c r="A146" s="2"/>
      <x:c r="B146" s="2"/>
      <x:c r="C146" s="2"/>
      <x:c r="D146" s="2"/>
      <x:c r="E146" s="2"/>
      <x:c r="F146" s="2"/>
    </x:row>
    <x:row r="147" ht="27" customHeight="1">
      <x:c r="A147" s="4" t="s">
        <x:v>1134</x:v>
      </x:c>
      <x:c r="B147" s="4"/>
      <x:c r="C147" s="4"/>
      <x:c r="D147" s="4"/>
      <x:c r="E147" s="4"/>
      <x:c r="F147" s="4"/>
    </x:row>
    <x:row r="148" ht="48.75" customHeight="1">
      <x:c r="A148" s="5" t="s">
        <x:v>1135</x:v>
      </x:c>
      <x:c r="B148" s="5" t="s">
        <x:v>1136</x:v>
      </x:c>
      <x:c r="C148" s="5" t="s">
        <x:v>1137</x:v>
      </x:c>
      <x:c r="D148" s="5" t="s">
        <x:v>1138</x:v>
      </x:c>
      <x:c r="E148" s="5" t="s">
        <x:v>1139</x:v>
      </x:c>
      <x:c r="F148" s="5" t="s">
        <x:v>1140</x:v>
      </x:c>
    </x:row>
    <x:row r="149" ht="37.5" customHeight="1">
      <x:c r="A149" s="15" t="s">
        <x:v>1141</x:v>
      </x:c>
      <x:c r="B149" s="27">
        <x:v>1.0</x:v>
      </x:c>
      <x:c r="C149" s="27">
        <x:v>4.0</x:v>
      </x:c>
      <x:c r="D149" s="27">
        <x:v>0.0</x:v>
      </x:c>
      <x:c r="E149" s="27"/>
      <x:c r="F149" s="27">
        <x:v>0.0</x:v>
      </x:c>
    </x:row>
    <x:row r="150" ht="37.5" customHeight="1">
      <x:c r="A150" s="15" t="s">
        <x:v>1142</x:v>
      </x:c>
      <x:c r="B150" s="27">
        <x:v>3.0</x:v>
      </x:c>
      <x:c r="C150" s="27">
        <x:v>5.0</x:v>
      </x:c>
      <x:c r="D150" s="27">
        <x:v>1.0</x:v>
      </x:c>
      <x:c r="E150" s="9">
        <x:v>6.0</x:v>
      </x:c>
      <x:c r="F150" s="27">
        <x:v>0.0</x:v>
      </x:c>
    </x:row>
    <x:row r="151" ht="37.5" customHeight="1">
      <x:c r="A151" s="15" t="s">
        <x:v>1143</x:v>
      </x:c>
      <x:c r="B151" s="27">
        <x:v>4.0</x:v>
      </x:c>
      <x:c r="C151" s="27">
        <x:v>6.0</x:v>
      </x:c>
      <x:c r="D151" s="27">
        <x:v>0.0</x:v>
      </x:c>
      <x:c r="E151" s="27"/>
      <x:c r="F151" s="27">
        <x:v>1.0</x:v>
      </x:c>
    </x:row>
    <x:row r="152" ht="37.5" customHeight="1">
      <x:c r="A152" s="15" t="s">
        <x:v>1144</x:v>
      </x:c>
      <x:c r="B152" s="27">
        <x:v>9.0</x:v>
      </x:c>
      <x:c r="C152" s="27">
        <x:v>7.0</x:v>
      </x:c>
      <x:c r="D152" s="27">
        <x:v>1.0</x:v>
      </x:c>
      <x:c r="E152" s="27">
        <x:v>16.0</x:v>
      </x:c>
      <x:c r="F152" s="27">
        <x:v>0.0</x:v>
      </x:c>
    </x:row>
    <x:row r="153" ht="37.5" customHeight="1">
      <x:c r="A153" s="15" t="s">
        <x:v>1145</x:v>
      </x:c>
      <x:c r="B153" s="27">
        <x:v>10.0</x:v>
      </x:c>
      <x:c r="C153" s="27">
        <x:v>8.0</x:v>
      </x:c>
      <x:c r="D153" s="27">
        <x:v>0.0</x:v>
      </x:c>
      <x:c r="E153" s="27"/>
      <x:c r="F153" s="27">
        <x:v>1.0</x:v>
      </x:c>
    </x:row>
    <x:row r="154" ht="21.75" customHeight="1">
      <x:c r="A154" s="2"/>
      <x:c r="B154" s="2"/>
      <x:c r="C154" s="2"/>
      <x:c r="D154" s="2"/>
      <x:c r="E154" s="2"/>
      <x:c r="F154" s="2"/>
    </x:row>
    <x:row r="155" ht="21.75" customHeight="1">
      <x:c r="A155" s="2"/>
      <x:c r="B155" s="2"/>
      <x:c r="C155" s="2"/>
      <x:c r="D155" s="2"/>
      <x:c r="E155" s="2"/>
      <x:c r="F155" s="2"/>
    </x:row>
    <x:row r="156" ht="22.5" customHeight="1">
      <x:c r="A156" s="3" t="s">
        <x:v>1146</x:v>
      </x:c>
      <x:c r="B156" s="3"/>
      <x:c r="C156" s="3"/>
      <x:c r="D156" s="3"/>
      <x:c r="E156" s="3"/>
      <x:c r="F156" s="3"/>
    </x:row>
    <x:row r="157" ht="22.5" customHeight="1">
      <x:c r="A157" s="23" t="s">
        <x:v>1147</x:v>
      </x:c>
      <x:c r="B157" s="23"/>
      <x:c r="C157" s="23"/>
      <x:c r="D157" s="23"/>
      <x:c r="E157" s="23"/>
      <x:c r="F157" s="23"/>
    </x:row>
    <x:row r="158" ht="21.75" customHeight="1">
      <x:c r="A158" s="2"/>
      <x:c r="B158" s="2"/>
      <x:c r="C158" s="2"/>
      <x:c r="D158" s="2"/>
      <x:c r="E158" s="2"/>
      <x:c r="F158" s="2"/>
    </x:row>
    <x:row r="159" ht="21.75" customHeight="1">
      <x:c r="A159" s="6" t="s">
        <x:v>380</x:v>
      </x:c>
      <x:c r="B159" s="2"/>
      <x:c r="C159" s="2"/>
      <x:c r="D159" s="2"/>
      <x:c r="E159" s="2"/>
      <x:c r="F159" s="2"/>
    </x:row>
    <x:row r="160" ht="22.5" customHeight="1">
      <x:c r="A160" s="3" t="s">
        <x:v>381</x:v>
      </x:c>
      <x:c r="B160" s="3"/>
      <x:c r="C160" s="3"/>
      <x:c r="D160" s="3"/>
      <x:c r="E160" s="3"/>
      <x:c r="F160" s="3"/>
    </x:row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21.75" customHeight="1"/>
    <x:row r="277" ht="21.75" customHeight="1"/>
    <x:row r="278" ht="21.75" customHeight="1"/>
    <x:row r="279" ht="21.75" customHeight="1"/>
    <x:row r="280" ht="21.75" customHeight="1"/>
    <x:row r="281" ht="21.75" customHeight="1"/>
    <x:row r="282" ht="21.75" customHeight="1"/>
    <x:row r="283" ht="21.75" customHeight="1"/>
    <x:row r="284" ht="21.75" customHeight="1"/>
    <x:row r="285" ht="21.75" customHeight="1"/>
    <x:row r="286" ht="21.75" customHeight="1"/>
    <x:row r="287" ht="21.75" customHeight="1"/>
    <x:row r="288" ht="21.75" customHeight="1"/>
    <x:row r="289" ht="21.75" customHeight="1"/>
    <x:row r="290" ht="21.75" customHeight="1"/>
    <x:row r="291" ht="21.75" customHeight="1"/>
    <x:row r="292" ht="21.75" customHeight="1"/>
    <x:row r="293" ht="21.75" customHeight="1"/>
    <x:row r="294" ht="21.75" customHeight="1"/>
    <x:row r="295" ht="21.75" customHeight="1"/>
    <x:row r="296" ht="21.75" customHeight="1"/>
    <x:row r="297" ht="21.75" customHeight="1"/>
    <x:row r="298" ht="21.75" customHeight="1"/>
    <x:row r="299" ht="21.75" customHeight="1"/>
    <x:row r="300" ht="21.75" customHeight="1"/>
    <x:row r="301" ht="21.75" customHeight="1"/>
    <x:row r="302" ht="21.75" customHeight="1"/>
    <x:row r="303" ht="21.75" customHeight="1"/>
    <x:row r="304" ht="21.75" customHeight="1"/>
    <x:row r="305" ht="21.75" customHeight="1"/>
    <x:row r="306" ht="21.75" customHeight="1"/>
    <x:row r="307" ht="21.75" customHeight="1"/>
    <x:row r="308" ht="21.75" customHeight="1"/>
    <x:row r="309" ht="21.75" customHeight="1"/>
    <x:row r="310" ht="21.75" customHeight="1"/>
    <x:row r="311" ht="21.75" customHeight="1"/>
    <x:row r="312" ht="21.75" customHeight="1"/>
    <x:row r="313" ht="21.75" customHeight="1"/>
    <x:row r="314" ht="21.75" customHeight="1"/>
    <x:row r="315" ht="21.75" customHeight="1"/>
    <x:row r="316" ht="21.75" customHeight="1"/>
    <x:row r="317" ht="21.75" customHeight="1"/>
    <x:row r="318" ht="21.75" customHeight="1"/>
    <x:row r="319" ht="21.75" customHeight="1"/>
    <x:row r="320" ht="21.75" customHeight="1"/>
    <x:row r="321" ht="21.75" customHeight="1"/>
    <x:row r="322" ht="21.75" customHeight="1"/>
    <x:row r="323" ht="21.75" customHeight="1"/>
    <x:row r="324" ht="21.75" customHeight="1"/>
    <x:row r="325" ht="21.75" customHeight="1"/>
    <x:row r="326" ht="21.75" customHeight="1"/>
    <x:row r="327" ht="21.75" customHeight="1"/>
    <x:row r="328" ht="21.75" customHeight="1"/>
    <x:row r="329" ht="21.75" customHeight="1"/>
    <x:row r="330" ht="21.75" customHeight="1"/>
    <x:row r="331" ht="21.75" customHeight="1"/>
    <x:row r="332" ht="21.75" customHeight="1"/>
    <x:row r="333" ht="21.75" customHeight="1"/>
    <x:row r="334" ht="21.75" customHeight="1"/>
    <x:row r="335" ht="21.75" customHeight="1"/>
    <x:row r="336" ht="21.75" customHeight="1"/>
    <x:row r="337" ht="21.75" customHeight="1"/>
    <x:row r="338" ht="21.75" customHeight="1"/>
    <x:row r="339" ht="21.75" customHeight="1"/>
    <x:row r="340" ht="21.75" customHeight="1"/>
    <x:row r="341" ht="21.75" customHeight="1"/>
    <x:row r="342" ht="21.75" customHeight="1"/>
    <x:row r="343" ht="21.75" customHeight="1"/>
    <x:row r="344" ht="21.75" customHeight="1"/>
    <x:row r="345" ht="21.75" customHeight="1"/>
    <x:row r="346" ht="21.75" customHeight="1"/>
    <x:row r="347" ht="21.75" customHeight="1"/>
    <x:row r="348" ht="21.75" customHeight="1"/>
    <x:row r="349" ht="21.75" customHeight="1"/>
    <x:row r="350" ht="21.75" customHeight="1"/>
    <x:row r="351" ht="21.75" customHeight="1"/>
    <x:row r="352" ht="21.75" customHeight="1"/>
    <x:row r="353" ht="21.75" customHeight="1"/>
    <x:row r="354" ht="21.75" customHeight="1"/>
    <x:row r="355" ht="21.75" customHeight="1"/>
    <x:row r="356" ht="21.75" customHeight="1"/>
    <x:row r="357" ht="21.75" customHeight="1"/>
    <x:row r="358" ht="21.75" customHeight="1"/>
    <x:row r="359" ht="21.75" customHeight="1"/>
    <x:row r="360" ht="21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4" location="'С11_Диагностика'!A93"/>
    <x:hyperlink ref="F27" location="'С11_Диагностика'!A128"/>
    <x:hyperlink ref="F28" location="'С11_Диагностика'!A128"/>
    <x:hyperlink ref="A159" location="'С10_Риски'!A1"/>
  </x:hyperlink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27" customWidth="1"/>
    <x:col min="2" max="2" width="31" customWidth="1"/>
    <x:col min="3" max="5" width="27" customWidth="1"/>
    <x:col min="6" max="6" width="29" customWidth="1"/>
    <x:col min="7" max="26" width="8.630000114440918" customWidth="1"/>
  </x:cols>
  <x:sheetData>
    <x:row r="1" ht="28.5" customHeight="1">
      <x:c r="A1" s="1" t="s">
        <x:v>1148</x:v>
      </x:c>
      <x:c r="B1" s="1"/>
      <x:c r="C1" s="1"/>
      <x:c r="D1" s="1"/>
      <x:c r="E1" s="1"/>
      <x:c r="F1" s="1"/>
    </x:row>
    <x:row r="2" ht="21.75" customHeight="1">
      <x:c r="A2" s="2"/>
      <x:c r="B2" s="2"/>
      <x:c r="C2" s="2"/>
      <x:c r="D2" s="2"/>
      <x:c r="E2" s="2"/>
      <x:c r="F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  <x:c r="F3" s="2"/>
    </x:row>
    <x:row r="4" ht="21.75" customHeight="1">
      <x:c r="A4" s="6" t="s">
        <x:v>1149</x:v>
      </x:c>
      <x:c r="B4" s="2"/>
      <x:c r="C4" s="2"/>
      <x:c r="D4" s="2"/>
      <x:c r="E4" s="2"/>
      <x:c r="F4" s="2"/>
    </x:row>
    <x:row r="5" ht="22.5" customHeight="1">
      <x:c r="A5" s="10" t="s">
        <x:v>1150</x:v>
      </x:c>
      <x:c r="B5" s="10"/>
      <x:c r="C5" s="10"/>
      <x:c r="D5" s="10"/>
      <x:c r="E5" s="10"/>
      <x:c r="F5" s="10"/>
    </x:row>
    <x:row r="6" ht="22.5" customHeight="1">
      <x:c r="A6" s="3" t="s">
        <x:v>1151</x:v>
      </x:c>
      <x:c r="B6" s="3"/>
      <x:c r="C6" s="3"/>
      <x:c r="D6" s="3"/>
      <x:c r="E6" s="3"/>
      <x:c r="F6" s="3"/>
    </x:row>
    <x:row r="7" ht="22.5" customHeight="1">
      <x:c r="A7" s="3" t="s">
        <x:v>1152</x:v>
      </x:c>
      <x:c r="B7" s="3"/>
      <x:c r="C7" s="3"/>
      <x:c r="D7" s="3"/>
      <x:c r="E7" s="3"/>
      <x:c r="F7" s="3"/>
    </x:row>
    <x:row r="8" ht="22.5" customHeight="1">
      <x:c r="A8" s="3" t="s">
        <x:v>1153</x:v>
      </x:c>
      <x:c r="B8" s="3"/>
      <x:c r="C8" s="3"/>
      <x:c r="D8" s="3"/>
      <x:c r="E8" s="3"/>
      <x:c r="F8" s="3"/>
    </x:row>
    <x:row r="9" ht="22.5" customHeight="1">
      <x:c r="A9" s="3" t="s">
        <x:v>1154</x:v>
      </x:c>
      <x:c r="B9" s="3"/>
      <x:c r="C9" s="3"/>
      <x:c r="D9" s="3"/>
      <x:c r="E9" s="3"/>
      <x:c r="F9" s="3"/>
    </x:row>
    <x:row r="10" ht="22.5" customHeight="1">
      <x:c r="A10" s="3" t="s">
        <x:v>1155</x:v>
      </x:c>
      <x:c r="B10" s="3"/>
      <x:c r="C10" s="3"/>
      <x:c r="D10" s="3"/>
      <x:c r="E10" s="3"/>
      <x:c r="F10" s="3"/>
    </x:row>
    <x:row r="11" ht="22.5" customHeight="1">
      <x:c r="A11" s="3" t="s">
        <x:v>1156</x:v>
      </x:c>
      <x:c r="B11" s="3"/>
      <x:c r="C11" s="3"/>
      <x:c r="D11" s="3"/>
      <x:c r="E11" s="3"/>
      <x:c r="F11" s="3"/>
    </x:row>
    <x:row r="12" ht="22.5" customHeight="1">
      <x:c r="A12" s="3" t="s">
        <x:v>1157</x:v>
      </x:c>
      <x:c r="B12" s="3"/>
      <x:c r="C12" s="3"/>
      <x:c r="D12" s="3"/>
      <x:c r="E12" s="3"/>
      <x:c r="F12" s="3"/>
    </x:row>
    <x:row r="13" ht="22.5" customHeight="1">
      <x:c r="A13" s="3" t="s">
        <x:v>1158</x:v>
      </x:c>
      <x:c r="B13" s="3"/>
      <x:c r="C13" s="3"/>
      <x:c r="D13" s="3"/>
      <x:c r="E13" s="3"/>
      <x:c r="F13" s="3"/>
    </x:row>
    <x:row r="14" ht="22.5" customHeight="1">
      <x:c r="A14" s="3" t="s">
        <x:v>1159</x:v>
      </x:c>
      <x:c r="B14" s="3"/>
      <x:c r="C14" s="3"/>
      <x:c r="D14" s="3"/>
      <x:c r="E14" s="3"/>
      <x:c r="F14" s="3"/>
    </x:row>
    <x:row r="15" ht="22.5" customHeight="1">
      <x:c r="A15" s="3" t="s">
        <x:v>1160</x:v>
      </x:c>
      <x:c r="B15" s="3"/>
      <x:c r="C15" s="3"/>
      <x:c r="D15" s="3"/>
      <x:c r="E15" s="3"/>
      <x:c r="F15" s="3"/>
    </x:row>
    <x:row r="16" ht="22.5" customHeight="1">
      <x:c r="A16" s="3" t="s">
        <x:v>1161</x:v>
      </x:c>
      <x:c r="B16" s="3"/>
      <x:c r="C16" s="3"/>
      <x:c r="D16" s="3"/>
      <x:c r="E16" s="3"/>
      <x:c r="F16" s="3"/>
    </x:row>
    <x:row r="17" ht="22.5" customHeight="1">
      <x:c r="A17" s="3" t="s">
        <x:v>1162</x:v>
      </x:c>
      <x:c r="B17" s="3"/>
      <x:c r="C17" s="3"/>
      <x:c r="D17" s="3"/>
      <x:c r="E17" s="3"/>
      <x:c r="F17" s="3"/>
    </x:row>
    <x:row r="18" ht="22.5" customHeight="1">
      <x:c r="A18" s="3" t="s">
        <x:v>245</x:v>
      </x:c>
      <x:c r="B18" s="3"/>
      <x:c r="C18" s="3"/>
      <x:c r="D18" s="3"/>
      <x:c r="E18" s="3"/>
      <x:c r="F18" s="3"/>
    </x:row>
    <x:row r="19" ht="27" customHeight="1">
      <x:c r="A19" s="4" t="s">
        <x:v>1163</x:v>
      </x:c>
      <x:c r="B19" s="4"/>
      <x:c r="C19" s="4"/>
      <x:c r="D19" s="4"/>
      <x:c r="E19" s="4"/>
      <x:c r="F19" s="4"/>
    </x:row>
    <x:row r="20" ht="48.75" customHeight="1">
      <x:c r="A20" s="5" t="s">
        <x:v>1164</x:v>
      </x:c>
      <x:c r="B20" s="5" t="s">
        <x:v>1165</x:v>
      </x:c>
      <x:c r="C20" s="5" t="s">
        <x:v>1166</x:v>
      </x:c>
      <x:c r="D20" s="5" t="s">
        <x:v>1167</x:v>
      </x:c>
      <x:c r="E20" s="5" t="s">
        <x:v>1168</x:v>
      </x:c>
      <x:c r="F20" s="5" t="s">
        <x:v>499</x:v>
      </x:c>
    </x:row>
    <x:row r="21" ht="79.5" customHeight="1">
      <x:c r="A21" s="16"/>
      <x:c r="B21" s="16"/>
      <x:c r="C21" s="16"/>
      <x:c r="D21" s="16"/>
      <x:c r="E21" s="16"/>
      <x:c r="F21" s="16"/>
    </x:row>
    <x:row r="22" ht="21.75" customHeight="1">
      <x:c r="A22" s="2"/>
      <x:c r="B22" s="2"/>
      <x:c r="C22" s="2"/>
      <x:c r="D22" s="2"/>
      <x:c r="E22" s="2"/>
      <x:c r="F22" s="2"/>
    </x:row>
    <x:row r="23" ht="21.75" customHeight="1">
      <x:c r="A23" s="2"/>
      <x:c r="B23" s="2"/>
      <x:c r="C23" s="2"/>
      <x:c r="D23" s="2"/>
      <x:c r="E23" s="2"/>
      <x:c r="F23" s="2"/>
    </x:row>
    <x:row r="24" ht="27" customHeight="1">
      <x:c r="A24" s="4" t="s">
        <x:v>180</x:v>
      </x:c>
      <x:c r="B24" s="4"/>
      <x:c r="C24" s="4"/>
      <x:c r="D24" s="4"/>
      <x:c r="E24" s="4"/>
      <x:c r="F24" s="4"/>
    </x:row>
    <x:row r="25" ht="48.75" customHeight="1">
      <x:c r="A25" s="5" t="s">
        <x:v>1169</x:v>
      </x:c>
      <x:c r="B25" s="5" t="s">
        <x:v>878</x:v>
      </x:c>
      <x:c r="C25" s="5" t="s">
        <x:v>273</x:v>
      </x:c>
      <x:c r="D25" s="5" t="s">
        <x:v>1170</x:v>
      </x:c>
      <x:c r="E25" s="5" t="s">
        <x:v>626</x:v>
      </x:c>
      <x:c r="F25" s="2"/>
    </x:row>
    <x:row r="26" ht="79.5" customHeight="1">
      <x:c r="A26" s="16"/>
      <x:c r="B26" s="16"/>
      <x:c r="C26" s="16"/>
      <x:c r="D26" s="16"/>
      <x:c r="E26" s="16"/>
      <x:c r="F26" s="2"/>
    </x:row>
    <x:row r="27" ht="21.75" customHeight="1">
      <x:c r="A27" s="2"/>
      <x:c r="B27" s="2"/>
      <x:c r="C27" s="2"/>
      <x:c r="D27" s="2"/>
      <x:c r="E27" s="2"/>
      <x:c r="F27" s="2"/>
    </x:row>
    <x:row r="28" ht="21.75" customHeight="1">
      <x:c r="A28" s="2"/>
      <x:c r="B28" s="2"/>
      <x:c r="C28" s="2"/>
      <x:c r="D28" s="2"/>
      <x:c r="E28" s="2"/>
      <x:c r="F28" s="2"/>
    </x:row>
    <x:row r="29" ht="27" customHeight="1">
      <x:c r="A29" s="4" t="s">
        <x:v>1171</x:v>
      </x:c>
      <x:c r="B29" s="4"/>
      <x:c r="C29" s="4"/>
      <x:c r="D29" s="4"/>
      <x:c r="E29" s="4"/>
      <x:c r="F29" s="4"/>
    </x:row>
    <x:row r="30" ht="48.75" customHeight="1">
      <x:c r="A30" s="5" t="s">
        <x:v>537</x:v>
      </x:c>
      <x:c r="B30" s="5" t="s">
        <x:v>1172</x:v>
      </x:c>
      <x:c r="C30" s="5" t="s">
        <x:v>611</x:v>
      </x:c>
      <x:c r="D30" s="5" t="s">
        <x:v>1173</x:v>
      </x:c>
      <x:c r="E30" s="5" t="s">
        <x:v>1174</x:v>
      </x:c>
      <x:c r="F30" s="2"/>
    </x:row>
    <x:row r="31" ht="79.5" customHeight="1">
      <x:c r="A31" s="7" t="s">
        <x:v>1175</x:v>
      </x:c>
      <x:c r="B31" s="16"/>
      <x:c r="C31" s="16"/>
      <x:c r="D31" s="16"/>
      <x:c r="E31" s="16"/>
      <x:c r="F31" s="2"/>
    </x:row>
    <x:row r="32" ht="79.5" customHeight="1">
      <x:c r="A32" s="7" t="s">
        <x:v>1176</x:v>
      </x:c>
      <x:c r="B32" s="16"/>
      <x:c r="C32" s="16"/>
      <x:c r="D32" s="16"/>
      <x:c r="E32" s="16"/>
      <x:c r="F32" s="2"/>
    </x:row>
    <x:row r="33" ht="79.5" customHeight="1">
      <x:c r="A33" s="7" t="s">
        <x:v>1177</x:v>
      </x:c>
      <x:c r="B33" s="16"/>
      <x:c r="C33" s="16"/>
      <x:c r="D33" s="16"/>
      <x:c r="E33" s="16"/>
      <x:c r="F33" s="2"/>
    </x:row>
    <x:row r="34" ht="79.5" customHeight="1">
      <x:c r="A34" s="7" t="s">
        <x:v>1178</x:v>
      </x:c>
      <x:c r="B34" s="16"/>
      <x:c r="C34" s="16"/>
      <x:c r="D34" s="16"/>
      <x:c r="E34" s="16"/>
      <x:c r="F34" s="2"/>
    </x:row>
    <x:row r="35" ht="79.5" customHeight="1">
      <x:c r="A35" s="7" t="s">
        <x:v>1179</x:v>
      </x:c>
      <x:c r="B35" s="16"/>
      <x:c r="C35" s="16"/>
      <x:c r="D35" s="16"/>
      <x:c r="E35" s="16"/>
      <x:c r="F35" s="2"/>
    </x:row>
    <x:row r="36" ht="21.75" customHeight="1">
      <x:c r="A36" s="2"/>
      <x:c r="B36" s="2"/>
      <x:c r="C36" s="2"/>
      <x:c r="D36" s="2"/>
      <x:c r="E36" s="2"/>
      <x:c r="F36" s="2"/>
    </x:row>
    <x:row r="37" ht="21.75" customHeight="1">
      <x:c r="A37" s="2"/>
      <x:c r="B37" s="2"/>
      <x:c r="C37" s="2"/>
      <x:c r="D37" s="2"/>
      <x:c r="E37" s="2"/>
      <x:c r="F37" s="2"/>
    </x:row>
    <x:row r="38" ht="27" customHeight="1">
      <x:c r="A38" s="4" t="s">
        <x:v>1180</x:v>
      </x:c>
      <x:c r="B38" s="4"/>
      <x:c r="C38" s="4"/>
      <x:c r="D38" s="4"/>
      <x:c r="E38" s="4"/>
      <x:c r="F38" s="4"/>
    </x:row>
    <x:row r="39" ht="48.75" customHeight="1">
      <x:c r="A39" s="5" t="s">
        <x:v>1181</x:v>
      </x:c>
      <x:c r="B39" s="5" t="s">
        <x:v>1182</x:v>
      </x:c>
      <x:c r="C39" s="5" t="s">
        <x:v>1183</x:v>
      </x:c>
      <x:c r="D39" s="5" t="s">
        <x:v>1184</x:v>
      </x:c>
      <x:c r="E39" s="5" t="s">
        <x:v>1185</x:v>
      </x:c>
      <x:c r="F39" s="2"/>
    </x:row>
    <x:row r="40" ht="79.5" customHeight="1">
      <x:c r="A40" s="7" t="s">
        <x:v>1186</x:v>
      </x:c>
      <x:c r="B40" s="16"/>
      <x:c r="C40" s="16"/>
      <x:c r="D40" s="16"/>
      <x:c r="E40" s="16"/>
      <x:c r="F40" s="2"/>
    </x:row>
    <x:row r="41" ht="79.5" customHeight="1">
      <x:c r="A41" s="7" t="s">
        <x:v>1187</x:v>
      </x:c>
      <x:c r="B41" s="16"/>
      <x:c r="C41" s="16"/>
      <x:c r="D41" s="16"/>
      <x:c r="E41" s="16"/>
      <x:c r="F41" s="2"/>
    </x:row>
    <x:row r="42" ht="79.5" customHeight="1">
      <x:c r="A42" s="7" t="s">
        <x:v>1188</x:v>
      </x:c>
      <x:c r="B42" s="16"/>
      <x:c r="C42" s="16"/>
      <x:c r="D42" s="16"/>
      <x:c r="E42" s="16"/>
      <x:c r="F42" s="2"/>
    </x:row>
    <x:row r="43" ht="79.5" customHeight="1">
      <x:c r="A43" s="7" t="s">
        <x:v>1189</x:v>
      </x:c>
      <x:c r="B43" s="16"/>
      <x:c r="C43" s="16"/>
      <x:c r="D43" s="16"/>
      <x:c r="E43" s="16"/>
      <x:c r="F43" s="2"/>
    </x:row>
    <x:row r="44" ht="79.5" customHeight="1">
      <x:c r="A44" s="7" t="s">
        <x:v>1190</x:v>
      </x:c>
      <x:c r="B44" s="16"/>
      <x:c r="C44" s="16"/>
      <x:c r="D44" s="16"/>
      <x:c r="E44" s="16"/>
      <x:c r="F44" s="2"/>
    </x:row>
    <x:row r="45" ht="21.75" customHeight="1">
      <x:c r="A45" s="2"/>
      <x:c r="B45" s="2"/>
      <x:c r="C45" s="2"/>
      <x:c r="D45" s="2"/>
      <x:c r="E45" s="2"/>
      <x:c r="F45" s="2"/>
    </x:row>
    <x:row r="46" ht="21.75" customHeight="1">
      <x:c r="A46" s="2"/>
      <x:c r="B46" s="2"/>
      <x:c r="C46" s="2"/>
      <x:c r="D46" s="2"/>
      <x:c r="E46" s="2"/>
      <x:c r="F46" s="2"/>
    </x:row>
    <x:row r="47" ht="27" customHeight="1">
      <x:c r="A47" s="4" t="s">
        <x:v>278</x:v>
      </x:c>
      <x:c r="B47" s="4"/>
      <x:c r="C47" s="4"/>
      <x:c r="D47" s="4"/>
      <x:c r="E47" s="4"/>
      <x:c r="F47" s="4"/>
    </x:row>
    <x:row r="48" ht="22.5" customHeight="1">
      <x:c r="A48" s="3" t="s">
        <x:v>1191</x:v>
      </x:c>
      <x:c r="B48" s="3"/>
      <x:c r="C48" s="3"/>
      <x:c r="D48" s="3"/>
      <x:c r="E48" s="3"/>
      <x:c r="F48" s="3"/>
    </x:row>
    <x:row r="49" ht="22.5" customHeight="1">
      <x:c r="A49" s="3" t="s">
        <x:v>1192</x:v>
      </x:c>
      <x:c r="B49" s="3"/>
      <x:c r="C49" s="3"/>
      <x:c r="D49" s="3"/>
      <x:c r="E49" s="3"/>
      <x:c r="F49" s="3"/>
    </x:row>
    <x:row r="50" ht="22.5" customHeight="1">
      <x:c r="A50" s="3" t="s">
        <x:v>1193</x:v>
      </x:c>
      <x:c r="B50" s="3"/>
      <x:c r="C50" s="3"/>
      <x:c r="D50" s="3"/>
      <x:c r="E50" s="3"/>
      <x:c r="F50" s="3"/>
    </x:row>
    <x:row r="51" ht="22.5" customHeight="1">
      <x:c r="A51" s="3" t="s">
        <x:v>1194</x:v>
      </x:c>
      <x:c r="B51" s="3"/>
      <x:c r="C51" s="3"/>
      <x:c r="D51" s="3"/>
      <x:c r="E51" s="3"/>
      <x:c r="F51" s="3"/>
    </x:row>
    <x:row r="52" ht="22.5" customHeight="1">
      <x:c r="A52" s="3" t="s">
        <x:v>1195</x:v>
      </x:c>
      <x:c r="B52" s="3"/>
      <x:c r="C52" s="3"/>
      <x:c r="D52" s="3"/>
      <x:c r="E52" s="3"/>
      <x:c r="F52" s="3"/>
    </x:row>
    <x:row r="53" ht="22.5" customHeight="1">
      <x:c r="A53" s="3" t="s">
        <x:v>1196</x:v>
      </x:c>
      <x:c r="B53" s="3"/>
      <x:c r="C53" s="3"/>
      <x:c r="D53" s="3"/>
      <x:c r="E53" s="3"/>
      <x:c r="F53" s="3"/>
    </x:row>
    <x:row r="54" ht="22.5" customHeight="1">
      <x:c r="A54" s="3" t="s">
        <x:v>1197</x:v>
      </x:c>
      <x:c r="B54" s="3"/>
      <x:c r="C54" s="3"/>
      <x:c r="D54" s="3"/>
      <x:c r="E54" s="3"/>
      <x:c r="F54" s="3"/>
    </x:row>
    <x:row r="55" ht="22.5" customHeight="1">
      <x:c r="A55" s="3" t="s">
        <x:v>1198</x:v>
      </x:c>
      <x:c r="B55" s="3"/>
      <x:c r="C55" s="3"/>
      <x:c r="D55" s="3"/>
      <x:c r="E55" s="3"/>
      <x:c r="F55" s="3"/>
    </x:row>
    <x:row r="56" ht="22.5" customHeight="1">
      <x:c r="A56" s="3" t="s">
        <x:v>1199</x:v>
      </x:c>
      <x:c r="B56" s="3"/>
      <x:c r="C56" s="3"/>
      <x:c r="D56" s="3"/>
      <x:c r="E56" s="3"/>
      <x:c r="F56" s="3"/>
    </x:row>
    <x:row r="57" ht="22.5" customHeight="1">
      <x:c r="A57" s="3" t="s">
        <x:v>1200</x:v>
      </x:c>
      <x:c r="B57" s="3"/>
      <x:c r="C57" s="3"/>
      <x:c r="D57" s="3"/>
      <x:c r="E57" s="3"/>
      <x:c r="F57" s="3"/>
    </x:row>
    <x:row r="58" ht="22.5" customHeight="1">
      <x:c r="A58" s="3" t="s">
        <x:v>1201</x:v>
      </x:c>
      <x:c r="B58" s="3"/>
      <x:c r="C58" s="3"/>
      <x:c r="D58" s="3"/>
      <x:c r="E58" s="3"/>
      <x:c r="F58" s="3"/>
    </x:row>
    <x:row r="59" ht="22.5" customHeight="1">
      <x:c r="A59" s="3" t="s">
        <x:v>1202</x:v>
      </x:c>
      <x:c r="B59" s="3"/>
      <x:c r="C59" s="3"/>
      <x:c r="D59" s="3"/>
      <x:c r="E59" s="3"/>
      <x:c r="F59" s="3"/>
    </x:row>
    <x:row r="60" ht="22.5" customHeight="1">
      <x:c r="A60" s="3" t="s">
        <x:v>1203</x:v>
      </x:c>
      <x:c r="B60" s="3"/>
      <x:c r="C60" s="3"/>
      <x:c r="D60" s="3"/>
      <x:c r="E60" s="3"/>
      <x:c r="F60" s="3"/>
    </x:row>
    <x:row r="61" ht="22.5" customHeight="1">
      <x:c r="A61" s="3" t="s">
        <x:v>1204</x:v>
      </x:c>
      <x:c r="B61" s="3"/>
      <x:c r="C61" s="3"/>
      <x:c r="D61" s="3"/>
      <x:c r="E61" s="3"/>
      <x:c r="F61" s="3"/>
    </x:row>
    <x:row r="62" ht="22.5" customHeight="1">
      <x:c r="A62" s="3" t="s">
        <x:v>1205</x:v>
      </x:c>
      <x:c r="B62" s="3"/>
      <x:c r="C62" s="3"/>
      <x:c r="D62" s="3"/>
      <x:c r="E62" s="3"/>
      <x:c r="F62" s="3"/>
    </x:row>
    <x:row r="63" ht="22.5" customHeight="1">
      <x:c r="A63" s="3" t="s">
        <x:v>1206</x:v>
      </x:c>
      <x:c r="B63" s="3"/>
      <x:c r="C63" s="3"/>
      <x:c r="D63" s="3"/>
      <x:c r="E63" s="3"/>
      <x:c r="F63" s="3"/>
    </x:row>
    <x:row r="64" ht="22.5" customHeight="1">
      <x:c r="A64" s="3" t="s">
        <x:v>1207</x:v>
      </x:c>
      <x:c r="B64" s="3"/>
      <x:c r="C64" s="3"/>
      <x:c r="D64" s="3"/>
      <x:c r="E64" s="3"/>
      <x:c r="F64" s="3"/>
    </x:row>
    <x:row r="65" ht="22.5" customHeight="1">
      <x:c r="A65" s="3" t="s">
        <x:v>1208</x:v>
      </x:c>
      <x:c r="B65" s="3"/>
      <x:c r="C65" s="3"/>
      <x:c r="D65" s="3"/>
      <x:c r="E65" s="3"/>
      <x:c r="F65" s="3"/>
    </x:row>
    <x:row r="66" ht="27" customHeight="1">
      <x:c r="A66" s="4" t="s">
        <x:v>421</x:v>
      </x:c>
      <x:c r="B66" s="4"/>
      <x:c r="C66" s="4"/>
      <x:c r="D66" s="4"/>
      <x:c r="E66" s="4"/>
      <x:c r="F66" s="4"/>
    </x:row>
    <x:row r="67" ht="22.5" customHeight="1">
      <x:c r="A67" s="10" t="s">
        <x:v>1209</x:v>
      </x:c>
      <x:c r="B67" s="10"/>
      <x:c r="C67" s="10"/>
      <x:c r="D67" s="10"/>
      <x:c r="E67" s="10"/>
      <x:c r="F67" s="10"/>
    </x:row>
    <x:row r="68" ht="22.5" customHeight="1">
      <x:c r="A68" s="3" t="s">
        <x:v>1210</x:v>
      </x:c>
      <x:c r="B68" s="3"/>
      <x:c r="C68" s="3"/>
      <x:c r="D68" s="3"/>
      <x:c r="E68" s="3"/>
      <x:c r="F68" s="3"/>
    </x:row>
    <x:row r="69" ht="22.5" customHeight="1">
      <x:c r="A69" s="3" t="s">
        <x:v>1211</x:v>
      </x:c>
      <x:c r="B69" s="3"/>
      <x:c r="C69" s="3"/>
      <x:c r="D69" s="3"/>
      <x:c r="E69" s="3"/>
      <x:c r="F69" s="3"/>
    </x:row>
    <x:row r="70" ht="22.5" customHeight="1">
      <x:c r="A70" s="3" t="s">
        <x:v>1212</x:v>
      </x:c>
      <x:c r="B70" s="3"/>
      <x:c r="C70" s="3"/>
      <x:c r="D70" s="3"/>
      <x:c r="E70" s="3"/>
      <x:c r="F70" s="3"/>
    </x:row>
    <x:row r="71" ht="22.5" customHeight="1">
      <x:c r="A71" s="3" t="s">
        <x:v>1213</x:v>
      </x:c>
      <x:c r="B71" s="3"/>
      <x:c r="C71" s="3"/>
      <x:c r="D71" s="3"/>
      <x:c r="E71" s="3"/>
      <x:c r="F71" s="3"/>
    </x:row>
    <x:row r="72" ht="22.5" customHeight="1">
      <x:c r="A72" s="3" t="s">
        <x:v>1214</x:v>
      </x:c>
      <x:c r="B72" s="3"/>
      <x:c r="C72" s="3"/>
      <x:c r="D72" s="3"/>
      <x:c r="E72" s="3"/>
      <x:c r="F72" s="3"/>
    </x:row>
    <x:row r="73" ht="22.5" customHeight="1">
      <x:c r="A73" s="3" t="s">
        <x:v>1215</x:v>
      </x:c>
      <x:c r="B73" s="3"/>
      <x:c r="C73" s="3"/>
      <x:c r="D73" s="3"/>
      <x:c r="E73" s="3"/>
      <x:c r="F73" s="3"/>
    </x:row>
    <x:row r="74" ht="22.5" customHeight="1">
      <x:c r="A74" s="3" t="s">
        <x:v>1216</x:v>
      </x:c>
      <x:c r="B74" s="3"/>
      <x:c r="C74" s="3"/>
      <x:c r="D74" s="3"/>
      <x:c r="E74" s="3"/>
      <x:c r="F74" s="3"/>
    </x:row>
    <x:row r="75" ht="22.5" customHeight="1">
      <x:c r="A75" s="3" t="s">
        <x:v>1217</x:v>
      </x:c>
      <x:c r="B75" s="3"/>
      <x:c r="C75" s="3"/>
      <x:c r="D75" s="3"/>
      <x:c r="E75" s="3"/>
      <x:c r="F75" s="3"/>
    </x:row>
    <x:row r="76" ht="22.5" customHeight="1">
      <x:c r="A76" s="3" t="s">
        <x:v>1218</x:v>
      </x:c>
      <x:c r="B76" s="3"/>
      <x:c r="C76" s="3"/>
      <x:c r="D76" s="3"/>
      <x:c r="E76" s="3"/>
      <x:c r="F76" s="3"/>
    </x:row>
    <x:row r="77" ht="22.5" customHeight="1">
      <x:c r="A77" s="3" t="s">
        <x:v>1219</x:v>
      </x:c>
      <x:c r="B77" s="3"/>
      <x:c r="C77" s="3"/>
      <x:c r="D77" s="3"/>
      <x:c r="E77" s="3"/>
      <x:c r="F77" s="3"/>
    </x:row>
    <x:row r="78" ht="27" customHeight="1">
      <x:c r="A78" s="4" t="s">
        <x:v>1220</x:v>
      </x:c>
      <x:c r="B78" s="4"/>
      <x:c r="C78" s="4"/>
      <x:c r="D78" s="4"/>
      <x:c r="E78" s="4"/>
      <x:c r="F78" s="4"/>
    </x:row>
    <x:row r="79" ht="48.75" customHeight="1">
      <x:c r="A79" s="5" t="s">
        <x:v>530</x:v>
      </x:c>
      <x:c r="B79" s="5" t="s">
        <x:v>465</x:v>
      </x:c>
      <x:c r="C79" s="5" t="s">
        <x:v>1173</x:v>
      </x:c>
      <x:c r="D79" s="2"/>
      <x:c r="E79" s="2"/>
      <x:c r="F79" s="2"/>
    </x:row>
    <x:row r="80" ht="57" customHeight="1">
      <x:c r="A80" s="15" t="s">
        <x:v>1175</x:v>
      </x:c>
      <x:c r="B80" s="15" t="s">
        <x:v>1221</x:v>
      </x:c>
      <x:c r="C80" s="15" t="s">
        <x:v>1222</x:v>
      </x:c>
      <x:c r="D80" s="2"/>
      <x:c r="E80" s="2"/>
      <x:c r="F80" s="2"/>
    </x:row>
    <x:row r="81" ht="42" customHeight="1">
      <x:c r="A81" s="15" t="s">
        <x:v>1176</x:v>
      </x:c>
      <x:c r="B81" s="15" t="s">
        <x:v>1223</x:v>
      </x:c>
      <x:c r="C81" s="15" t="s">
        <x:v>1224</x:v>
      </x:c>
      <x:c r="D81" s="2"/>
      <x:c r="E81" s="2"/>
      <x:c r="F81" s="2"/>
    </x:row>
    <x:row r="82" ht="42" customHeight="1">
      <x:c r="A82" s="15" t="s">
        <x:v>1177</x:v>
      </x:c>
      <x:c r="B82" s="15" t="s">
        <x:v>1225</x:v>
      </x:c>
      <x:c r="C82" s="15" t="s">
        <x:v>1226</x:v>
      </x:c>
      <x:c r="D82" s="2"/>
      <x:c r="E82" s="2"/>
      <x:c r="F82" s="2"/>
    </x:row>
    <x:row r="83" ht="21.75" customHeight="1">
      <x:c r="A83" s="2"/>
      <x:c r="B83" s="2"/>
      <x:c r="C83" s="2"/>
      <x:c r="D83" s="2"/>
      <x:c r="E83" s="2"/>
      <x:c r="F83" s="2"/>
    </x:row>
    <x:row r="84" ht="21.75" customHeight="1">
      <x:c r="A84" s="2"/>
      <x:c r="B84" s="2"/>
      <x:c r="C84" s="2"/>
      <x:c r="D84" s="2"/>
      <x:c r="E84" s="2"/>
      <x:c r="F84" s="2"/>
    </x:row>
    <x:row r="85" ht="27" customHeight="1">
      <x:c r="A85" s="4" t="s">
        <x:v>1227</x:v>
      </x:c>
      <x:c r="B85" s="4"/>
      <x:c r="C85" s="4"/>
      <x:c r="D85" s="4"/>
      <x:c r="E85" s="4"/>
      <x:c r="F85" s="4"/>
    </x:row>
    <x:row r="86" ht="48.75" customHeight="1">
      <x:c r="A86" s="5" t="s">
        <x:v>1228</x:v>
      </x:c>
      <x:c r="B86" s="5" t="s">
        <x:v>1229</x:v>
      </x:c>
      <x:c r="C86" s="5" t="s">
        <x:v>1230</x:v>
      </x:c>
      <x:c r="D86" s="2"/>
      <x:c r="E86" s="2"/>
      <x:c r="F86" s="2"/>
    </x:row>
    <x:row r="87" ht="102" customHeight="1">
      <x:c r="A87" s="15" t="s">
        <x:v>618</x:v>
      </x:c>
      <x:c r="B87" s="15" t="s">
        <x:v>1231</x:v>
      </x:c>
      <x:c r="C87" s="15" t="s">
        <x:v>1232</x:v>
      </x:c>
      <x:c r="D87" s="2"/>
      <x:c r="E87" s="2"/>
      <x:c r="F87" s="2"/>
    </x:row>
    <x:row r="88" ht="72" customHeight="1">
      <x:c r="A88" s="15" t="s">
        <x:v>620</x:v>
      </x:c>
      <x:c r="B88" s="15" t="s">
        <x:v>1233</x:v>
      </x:c>
      <x:c r="C88" s="15" t="s">
        <x:v>1234</x:v>
      </x:c>
      <x:c r="D88" s="2"/>
      <x:c r="E88" s="2"/>
      <x:c r="F88" s="2"/>
    </x:row>
    <x:row r="89" ht="102" customHeight="1">
      <x:c r="A89" s="15" t="s">
        <x:v>621</x:v>
      </x:c>
      <x:c r="B89" s="15" t="s">
        <x:v>1235</x:v>
      </x:c>
      <x:c r="C89" s="15" t="s">
        <x:v>1236</x:v>
      </x:c>
      <x:c r="D89" s="2"/>
      <x:c r="E89" s="2"/>
      <x:c r="F89" s="2"/>
    </x:row>
    <x:row r="90" ht="72" customHeight="1">
      <x:c r="A90" s="15" t="s">
        <x:v>622</x:v>
      </x:c>
      <x:c r="B90" s="15" t="s">
        <x:v>1237</x:v>
      </x:c>
      <x:c r="C90" s="15" t="s">
        <x:v>1238</x:v>
      </x:c>
      <x:c r="D90" s="2"/>
      <x:c r="E90" s="2"/>
      <x:c r="F90" s="2"/>
    </x:row>
    <x:row r="91" ht="87" customHeight="1">
      <x:c r="A91" s="15" t="s">
        <x:v>1239</x:v>
      </x:c>
      <x:c r="B91" s="15" t="s">
        <x:v>1240</x:v>
      </x:c>
      <x:c r="C91" s="15" t="s">
        <x:v>1241</x:v>
      </x:c>
      <x:c r="D91" s="2"/>
      <x:c r="E91" s="2"/>
      <x:c r="F91" s="2"/>
    </x:row>
    <x:row r="92" ht="87" customHeight="1">
      <x:c r="A92" s="15" t="s">
        <x:v>1242</x:v>
      </x:c>
      <x:c r="B92" s="15" t="s">
        <x:v>1243</x:v>
      </x:c>
      <x:c r="C92" s="15" t="s">
        <x:v>1244</x:v>
      </x:c>
      <x:c r="D92" s="2"/>
      <x:c r="E92" s="2"/>
      <x:c r="F92" s="2"/>
    </x:row>
    <x:row r="93" ht="21.75" customHeight="1">
      <x:c r="A93" s="2"/>
      <x:c r="B93" s="2"/>
      <x:c r="C93" s="2"/>
      <x:c r="D93" s="2"/>
      <x:c r="E93" s="2"/>
      <x:c r="F93" s="2"/>
    </x:row>
    <x:row r="94" ht="21.75" customHeight="1">
      <x:c r="A94" s="2"/>
      <x:c r="B94" s="2"/>
      <x:c r="C94" s="2"/>
      <x:c r="D94" s="2"/>
      <x:c r="E94" s="2"/>
      <x:c r="F94" s="2"/>
    </x:row>
    <x:row r="95" ht="22.5" customHeight="1">
      <x:c r="A95" s="3" t="s">
        <x:v>302</x:v>
      </x:c>
      <x:c r="B95" s="3"/>
      <x:c r="C95" s="3"/>
      <x:c r="D95" s="3"/>
      <x:c r="E95" s="3"/>
      <x:c r="F95" s="3"/>
    </x:row>
    <x:row r="96" ht="27" customHeight="1">
      <x:c r="A96" s="4" t="s">
        <x:v>1245</x:v>
      </x:c>
      <x:c r="B96" s="4"/>
      <x:c r="C96" s="4"/>
      <x:c r="D96" s="4"/>
      <x:c r="E96" s="4"/>
      <x:c r="F96" s="4"/>
    </x:row>
    <x:row r="97" ht="48.75" customHeight="1">
      <x:c r="A97" s="5" t="s">
        <x:v>3</x:v>
      </x:c>
      <x:c r="B97" s="5" t="s">
        <x:v>212</x:v>
      </x:c>
      <x:c r="C97" s="2"/>
      <x:c r="D97" s="2"/>
      <x:c r="E97" s="2"/>
      <x:c r="F97" s="2"/>
    </x:row>
    <x:row r="98" ht="42" customHeight="1">
      <x:c r="A98" s="15" t="s">
        <x:v>1246</x:v>
      </x:c>
      <x:c r="B98" s="39" t="n">
        <x:f>IF('Начало'!B7="","",'Начало'!B7)</x:f>
        <x:v>11</x:v>
      </x:c>
      <x:c r="C98" s="2"/>
      <x:c r="D98" s="2"/>
      <x:c r="E98" s="2"/>
      <x:c r="F98" s="2"/>
    </x:row>
    <x:row r="99" ht="42" customHeight="1">
      <x:c r="A99" s="15" t="s">
        <x:v>1247</x:v>
      </x:c>
      <x:c r="B99" s="41"/>
      <x:c r="C99" s="2"/>
      <x:c r="D99" s="2"/>
      <x:c r="E99" s="2"/>
      <x:c r="F99" s="2"/>
    </x:row>
    <x:row r="100" ht="37.5" customHeight="1">
      <x:c r="A100" s="15" t="s">
        <x:v>1248</x:v>
      </x:c>
      <x:c r="B100" s="28" t="str">
        <x:f>IFERROR(IF(COUNT(B98)=0,IF(COUNTA(B99)=0,"",B99),CHOOSE(MOD(B98-1,6)+1,"A","B","C","D","E","F")),"")</x:f>
        <x:v>E</x:v>
      </x:c>
      <x:c r="C100" s="2"/>
      <x:c r="D100" s="2"/>
      <x:c r="E100" s="2"/>
      <x:c r="F100" s="2"/>
    </x:row>
    <x:row r="101" ht="21.75" customHeight="1">
      <x:c r="A101" s="2"/>
      <x:c r="B101" s="2"/>
      <x:c r="C101" s="2"/>
      <x:c r="D101" s="2"/>
      <x:c r="E101" s="2"/>
      <x:c r="F101" s="2"/>
    </x:row>
    <x:row r="102" ht="21.75" customHeight="1">
      <x:c r="A102" s="2"/>
      <x:c r="B102" s="2"/>
      <x:c r="C102" s="2"/>
      <x:c r="D102" s="2"/>
      <x:c r="E102" s="2"/>
      <x:c r="F102" s="2"/>
    </x:row>
    <x:row r="103" ht="27" customHeight="1">
      <x:c r="A103" s="4" t="s">
        <x:v>1249</x:v>
      </x:c>
      <x:c r="B103" s="4"/>
      <x:c r="C103" s="4"/>
      <x:c r="D103" s="4"/>
      <x:c r="E103" s="4"/>
      <x:c r="F103" s="4"/>
    </x:row>
    <x:row r="104" ht="48.75" customHeight="1">
      <x:c r="A104" s="5" t="s">
        <x:v>211</x:v>
      </x:c>
      <x:c r="B104" s="5" t="s">
        <x:v>830</x:v>
      </x:c>
      <x:c r="C104" s="2"/>
      <x:c r="D104" s="2"/>
      <x:c r="E104" s="2"/>
      <x:c r="F104" s="2"/>
    </x:row>
    <x:row r="105" ht="37.5" customHeight="1">
      <x:c r="A105" s="15" t="s">
        <x:v>1250</x:v>
      </x:c>
      <x:c r="B105" s="27">
        <x:v>4.0</x:v>
      </x:c>
      <x:c r="C105" s="2"/>
      <x:c r="D105" s="2"/>
      <x:c r="E105" s="2"/>
      <x:c r="F105" s="2"/>
    </x:row>
    <x:row r="106" ht="37.5" customHeight="1">
      <x:c r="A106" s="15" t="s">
        <x:v>1251</x:v>
      </x:c>
      <x:c r="B106" s="27">
        <x:v>3.0</x:v>
      </x:c>
      <x:c r="C106" s="2"/>
      <x:c r="D106" s="2"/>
      <x:c r="E106" s="2"/>
      <x:c r="F106" s="2"/>
    </x:row>
    <x:row r="107" ht="37.5" customHeight="1">
      <x:c r="A107" s="15" t="s">
        <x:v>1107</x:v>
      </x:c>
      <x:c r="B107" s="32">
        <x:v>4.1</x:v>
      </x:c>
      <x:c r="C107" s="2"/>
      <x:c r="D107" s="2"/>
      <x:c r="E107" s="2"/>
      <x:c r="F107" s="2"/>
    </x:row>
    <x:row r="108" ht="37.5" customHeight="1">
      <x:c r="A108" s="15" t="s">
        <x:v>1252</x:v>
      </x:c>
      <x:c r="B108" s="32">
        <x:v>0.45</x:v>
      </x:c>
      <x:c r="C108" s="2"/>
      <x:c r="D108" s="2"/>
      <x:c r="E108" s="2"/>
      <x:c r="F108" s="2"/>
    </x:row>
    <x:row r="109" ht="37.5" customHeight="1">
      <x:c r="A109" s="15" t="s">
        <x:v>1253</x:v>
      </x:c>
      <x:c r="B109" s="32">
        <x:v>4.8</x:v>
      </x:c>
      <x:c r="C109" s="2"/>
      <x:c r="D109" s="2"/>
      <x:c r="E109" s="2"/>
      <x:c r="F109" s="2"/>
    </x:row>
    <x:row r="110" ht="37.5" customHeight="1">
      <x:c r="A110" s="15" t="s">
        <x:v>1254</x:v>
      </x:c>
      <x:c r="B110" s="31" t="n">
        <x:f>IF(COUNT(B107:B109)&lt;3,"",B109-B107-B108)</x:f>
        <x:v>0.25000000000000017</x:v>
      </x:c>
      <x:c r="C110" s="2"/>
      <x:c r="D110" s="2"/>
      <x:c r="E110" s="2"/>
      <x:c r="F110" s="2"/>
    </x:row>
    <x:row r="111" ht="21.75" customHeight="1">
      <x:c r="A111" s="2"/>
      <x:c r="B111" s="2"/>
      <x:c r="C111" s="2"/>
      <x:c r="D111" s="2"/>
      <x:c r="E111" s="2"/>
      <x:c r="F111" s="2"/>
    </x:row>
    <x:row r="112" ht="21.75" customHeight="1">
      <x:c r="A112" s="2"/>
      <x:c r="B112" s="2"/>
      <x:c r="C112" s="2"/>
      <x:c r="D112" s="2"/>
      <x:c r="E112" s="2"/>
      <x:c r="F112" s="2"/>
    </x:row>
    <x:row r="113" ht="27" customHeight="1">
      <x:c r="A113" s="4" t="s">
        <x:v>1255</x:v>
      </x:c>
      <x:c r="B113" s="4"/>
      <x:c r="C113" s="4"/>
      <x:c r="D113" s="4"/>
      <x:c r="E113" s="4"/>
      <x:c r="F113" s="4"/>
    </x:row>
    <x:row r="114" ht="48.75" customHeight="1">
      <x:c r="A114" s="5" t="s">
        <x:v>1164</x:v>
      </x:c>
      <x:c r="B114" s="5" t="s">
        <x:v>1256</x:v>
      </x:c>
      <x:c r="C114" s="5" t="s">
        <x:v>1257</x:v>
      </x:c>
      <x:c r="D114" s="5" t="s">
        <x:v>1258</x:v>
      </x:c>
      <x:c r="E114" s="5" t="s">
        <x:v>1259</x:v>
      </x:c>
      <x:c r="F114" s="2"/>
    </x:row>
    <x:row r="115" ht="37.5" customHeight="1">
      <x:c r="A115" s="15" t="s">
        <x:v>618</x:v>
      </x:c>
      <x:c r="B115" s="32">
        <x:v>2.0</x:v>
      </x:c>
      <x:c r="C115" s="32">
        <x:v>0.12</x:v>
      </x:c>
      <x:c r="D115" s="32"/>
      <x:c r="E115" s="32">
        <x:v>1.0</x:v>
      </x:c>
      <x:c r="F115" s="2"/>
    </x:row>
    <x:row r="116" ht="37.5" customHeight="1">
      <x:c r="A116" s="15" t="s">
        <x:v>620</x:v>
      </x:c>
      <x:c r="B116" s="32">
        <x:v>4.0</x:v>
      </x:c>
      <x:c r="C116" s="32">
        <x:v>0.18</x:v>
      </x:c>
      <x:c r="D116" s="32"/>
      <x:c r="E116" s="32">
        <x:v>1.0</x:v>
      </x:c>
      <x:c r="F116" s="2"/>
    </x:row>
    <x:row r="117" ht="37.5" customHeight="1">
      <x:c r="A117" s="15" t="s">
        <x:v>621</x:v>
      </x:c>
      <x:c r="B117" s="32">
        <x:v>0.0</x:v>
      </x:c>
      <x:c r="C117" s="32">
        <x:v>0.05</x:v>
      </x:c>
      <x:c r="D117" s="32"/>
      <x:c r="E117" s="32">
        <x:v>1.0</x:v>
      </x:c>
      <x:c r="F117" s="2"/>
    </x:row>
    <x:row r="118" ht="37.5" customHeight="1">
      <x:c r="A118" s="15" t="s">
        <x:v>622</x:v>
      </x:c>
      <x:c r="B118" s="32">
        <x:v>0.0</x:v>
      </x:c>
      <x:c r="C118" s="32">
        <x:v>0.2</x:v>
      </x:c>
      <x:c r="D118" s="32">
        <x:v>1.0</x:v>
      </x:c>
      <x:c r="E118" s="32">
        <x:v>1.0</x:v>
      </x:c>
      <x:c r="F118" s="2"/>
    </x:row>
    <x:row r="119" ht="37.5" customHeight="1">
      <x:c r="A119" s="15" t="s">
        <x:v>1239</x:v>
      </x:c>
      <x:c r="B119" s="32">
        <x:v>3.0</x:v>
      </x:c>
      <x:c r="C119" s="32">
        <x:v>0.1</x:v>
      </x:c>
      <x:c r="D119" s="32"/>
      <x:c r="E119" s="32">
        <x:v>1.0</x:v>
      </x:c>
      <x:c r="F119" s="2"/>
    </x:row>
    <x:row r="120" ht="37.5" customHeight="1">
      <x:c r="A120" s="15" t="s">
        <x:v>1242</x:v>
      </x:c>
      <x:c r="B120" s="32">
        <x:v>0.0</x:v>
      </x:c>
      <x:c r="C120" s="32">
        <x:v>0.0</x:v>
      </x:c>
      <x:c r="D120" s="32"/>
      <x:c r="E120" s="32">
        <x:v>0.92</x:v>
      </x:c>
      <x:c r="F120" s="2"/>
    </x:row>
    <x:row r="121" ht="21.75" customHeight="1">
      <x:c r="A121" s="2"/>
      <x:c r="B121" s="2"/>
      <x:c r="C121" s="2"/>
      <x:c r="D121" s="2"/>
      <x:c r="E121" s="2"/>
      <x:c r="F121" s="2"/>
    </x:row>
    <x:row r="122" ht="21.75" customHeight="1">
      <x:c r="A122" s="2"/>
      <x:c r="B122" s="2"/>
      <x:c r="C122" s="2"/>
      <x:c r="D122" s="2"/>
      <x:c r="E122" s="2"/>
      <x:c r="F122" s="2"/>
    </x:row>
    <x:row r="123" ht="22.5" customHeight="1">
      <x:c r="A123" s="3" t="s">
        <x:v>1260</x:v>
      </x:c>
      <x:c r="B123" s="3"/>
      <x:c r="C123" s="3"/>
      <x:c r="D123" s="3"/>
      <x:c r="E123" s="3"/>
      <x:c r="F123" s="3"/>
    </x:row>
    <x:row r="124" ht="22.5" customHeight="1">
      <x:c r="A124" s="3" t="s">
        <x:v>1261</x:v>
      </x:c>
      <x:c r="B124" s="3"/>
      <x:c r="C124" s="3"/>
      <x:c r="D124" s="3"/>
      <x:c r="E124" s="3"/>
      <x:c r="F124" s="3"/>
    </x:row>
    <x:row r="125" ht="27" customHeight="1">
      <x:c r="A125" s="4" t="s">
        <x:v>1262</x:v>
      </x:c>
      <x:c r="B125" s="4"/>
      <x:c r="C125" s="4"/>
      <x:c r="D125" s="4"/>
      <x:c r="E125" s="4"/>
      <x:c r="F125" s="4"/>
    </x:row>
    <x:row r="126" ht="48.75" customHeight="1">
      <x:c r="A126" s="5" t="s">
        <x:v>829</x:v>
      </x:c>
      <x:c r="B126" s="5" t="s">
        <x:v>1263</x:v>
      </x:c>
      <x:c r="C126" s="2"/>
      <x:c r="D126" s="2"/>
      <x:c r="E126" s="2"/>
      <x:c r="F126" s="2"/>
    </x:row>
    <x:row r="127" ht="42" customHeight="1">
      <x:c r="A127" s="15" t="s">
        <x:v>1264</x:v>
      </x:c>
      <x:c r="B127" s="39" t="n">
        <x:f>IF(B100="","",IF(B100="A",MAX(B105,B106)+B115,IF(B100="B",MAX(B105+B116,B106),IF(B100="D",MAX(D118,B106),IF(B100="E",MAX(B105,B106)+B119,MAX(B105,B106))))))</x:f>
        <x:v>7</x:v>
      </x:c>
      <x:c r="C127" s="2"/>
      <x:c r="D127" s="2"/>
      <x:c r="E127" s="2"/>
      <x:c r="F127" s="2"/>
    </x:row>
    <x:row r="128" ht="42" customHeight="1">
      <x:c r="A128" s="15" t="s">
        <x:v>1265</x:v>
      </x:c>
      <x:c r="B128" s="40" t="n">
        <x:f>IF(B100="","",WORKDAY(DATE(2026,11,24),B127))</x:f>
        <x:v>46359</x:v>
      </x:c>
      <x:c r="C128" s="2"/>
      <x:c r="D128" s="2"/>
      <x:c r="E128" s="2"/>
      <x:c r="F128" s="2"/>
    </x:row>
    <x:row r="129" ht="37.5" customHeight="1">
      <x:c r="A129" s="15" t="s">
        <x:v>1266</x:v>
      </x:c>
      <x:c r="B129" s="42" t="n">
        <x:f>IF(B100="","",B107+B108+SUMIF(A115:A120,B100,C115:C120))</x:f>
        <x:v>4.6499999999999995</x:v>
      </x:c>
      <x:c r="C129" s="2"/>
      <x:c r="D129" s="2"/>
      <x:c r="E129" s="2"/>
      <x:c r="F129" s="2"/>
    </x:row>
    <x:row r="130" ht="42" customHeight="1">
      <x:c r="A130" s="15" t="s">
        <x:v>1267</x:v>
      </x:c>
      <x:c r="B130" s="42" t="n">
        <x:f>IF(B100="","",B109*SUMIF(A115:A120,B100,E115:E120))</x:f>
        <x:v>4.8</x:v>
      </x:c>
      <x:c r="C130" s="2"/>
      <x:c r="D130" s="2"/>
      <x:c r="E130" s="2"/>
      <x:c r="F130" s="2"/>
    </x:row>
    <x:row r="131" ht="57" customHeight="1">
      <x:c r="A131" s="15" t="s">
        <x:v>1268</x:v>
      </x:c>
      <x:c r="B131" s="42" t="n">
        <x:f>IF(OR(B100="",B100="F"),"",B110-SUMIF(A115:A120,B100,C115:C120))</x:f>
        <x:v>0.15000000000000016</x:v>
      </x:c>
      <x:c r="C131" s="2"/>
      <x:c r="D131" s="2"/>
      <x:c r="E131" s="2"/>
      <x:c r="F131" s="2"/>
    </x:row>
    <x:row r="132" ht="37.5" customHeight="1">
      <x:c r="A132" s="15" t="s">
        <x:v>1269</x:v>
      </x:c>
      <x:c r="B132" s="42" t="n">
        <x:f>IF(B100="","",MAX(0,B129-B130))</x:f>
        <x:v>0</x:v>
      </x:c>
      <x:c r="C132" s="2"/>
      <x:c r="D132" s="2"/>
      <x:c r="E132" s="2"/>
      <x:c r="F132" s="2"/>
    </x:row>
    <x:row r="133" ht="21.75" customHeight="1">
      <x:c r="A133" s="2"/>
      <x:c r="B133" s="2"/>
      <x:c r="C133" s="2"/>
      <x:c r="D133" s="2"/>
      <x:c r="E133" s="2"/>
      <x:c r="F133" s="2"/>
    </x:row>
    <x:row r="134" ht="21.75" customHeight="1">
      <x:c r="A134" s="2"/>
      <x:c r="B134" s="2"/>
      <x:c r="C134" s="2"/>
      <x:c r="D134" s="2"/>
      <x:c r="E134" s="2"/>
      <x:c r="F134" s="2"/>
    </x:row>
    <x:row r="135" ht="22.5" customHeight="1">
      <x:c r="A135" s="3" t="s">
        <x:v>1270</x:v>
      </x:c>
      <x:c r="B135" s="3"/>
      <x:c r="C135" s="3"/>
      <x:c r="D135" s="3"/>
      <x:c r="E135" s="3"/>
      <x:c r="F135" s="3"/>
    </x:row>
    <x:row r="136" ht="22.5" customHeight="1">
      <x:c r="A136" s="3" t="s">
        <x:v>1271</x:v>
      </x:c>
      <x:c r="B136" s="3"/>
      <x:c r="C136" s="3"/>
      <x:c r="D136" s="3"/>
      <x:c r="E136" s="3"/>
      <x:c r="F136" s="3"/>
    </x:row>
    <x:row r="137" ht="22.5" customHeight="1">
      <x:c r="A137" s="3" t="s">
        <x:v>1272</x:v>
      </x:c>
      <x:c r="B137" s="3"/>
      <x:c r="C137" s="3"/>
      <x:c r="D137" s="3"/>
      <x:c r="E137" s="3"/>
      <x:c r="F137" s="3"/>
    </x:row>
    <x:row r="138" ht="22.5" customHeight="1">
      <x:c r="A138" s="3" t="s">
        <x:v>1273</x:v>
      </x:c>
      <x:c r="B138" s="3"/>
      <x:c r="C138" s="3"/>
      <x:c r="D138" s="3"/>
      <x:c r="E138" s="3"/>
      <x:c r="F138" s="3"/>
    </x:row>
    <x:row r="139" ht="21.75" customHeight="1">
      <x:c r="A139" s="2"/>
      <x:c r="B139" s="2"/>
      <x:c r="C139" s="2"/>
      <x:c r="D139" s="2"/>
      <x:c r="E139" s="2"/>
      <x:c r="F139" s="2"/>
    </x:row>
    <x:row r="140" ht="21.75" customHeight="1">
      <x:c r="A140" s="6" t="s">
        <x:v>380</x:v>
      </x:c>
      <x:c r="B140" s="2"/>
      <x:c r="C140" s="2"/>
      <x:c r="D140" s="2"/>
      <x:c r="E140" s="2"/>
      <x:c r="F140" s="2"/>
    </x:row>
    <x:row r="141" ht="22.5" customHeight="1">
      <x:c r="A141" s="3" t="s">
        <x:v>381</x:v>
      </x:c>
      <x:c r="B141" s="3"/>
      <x:c r="C141" s="3"/>
      <x:c r="D141" s="3"/>
      <x:c r="E141" s="3"/>
      <x:c r="F141" s="3"/>
    </x:row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21.75" customHeight="1"/>
    <x:row r="277" ht="21.75" customHeight="1"/>
    <x:row r="278" ht="21.75" customHeight="1"/>
    <x:row r="279" ht="21.75" customHeight="1"/>
    <x:row r="280" ht="21.75" customHeight="1"/>
    <x:row r="281" ht="21.75" customHeight="1"/>
    <x:row r="282" ht="21.75" customHeight="1"/>
    <x:row r="283" ht="21.75" customHeight="1"/>
    <x:row r="284" ht="21.75" customHeight="1"/>
    <x:row r="285" ht="21.75" customHeight="1"/>
    <x:row r="286" ht="21.75" customHeight="1"/>
    <x:row r="287" ht="21.75" customHeight="1"/>
    <x:row r="288" ht="21.75" customHeight="1"/>
    <x:row r="289" ht="21.75" customHeight="1"/>
    <x:row r="290" ht="21.75" customHeight="1"/>
    <x:row r="291" ht="21.75" customHeight="1"/>
    <x:row r="292" ht="21.75" customHeight="1"/>
    <x:row r="293" ht="21.75" customHeight="1"/>
    <x:row r="294" ht="21.75" customHeight="1"/>
    <x:row r="295" ht="21.75" customHeight="1"/>
    <x:row r="296" ht="21.75" customHeight="1"/>
    <x:row r="297" ht="21.75" customHeight="1"/>
    <x:row r="298" ht="21.75" customHeight="1"/>
    <x:row r="299" ht="21.75" customHeight="1"/>
    <x:row r="300" ht="21.75" customHeight="1"/>
    <x:row r="301" ht="21.75" customHeight="1"/>
    <x:row r="302" ht="21.75" customHeight="1"/>
    <x:row r="303" ht="21.75" customHeight="1"/>
    <x:row r="304" ht="21.75" customHeight="1"/>
    <x:row r="305" ht="21.75" customHeight="1"/>
    <x:row r="306" ht="21.75" customHeight="1"/>
    <x:row r="307" ht="21.75" customHeight="1"/>
    <x:row r="308" ht="21.75" customHeight="1"/>
    <x:row r="309" ht="21.75" customHeight="1"/>
    <x:row r="310" ht="21.75" customHeight="1"/>
    <x:row r="311" ht="21.75" customHeight="1"/>
    <x:row r="312" ht="21.75" customHeight="1"/>
    <x:row r="313" ht="21.75" customHeight="1"/>
    <x:row r="314" ht="21.75" customHeight="1"/>
    <x:row r="315" ht="21.75" customHeight="1"/>
    <x:row r="316" ht="21.75" customHeight="1"/>
    <x:row r="317" ht="21.75" customHeight="1"/>
    <x:row r="318" ht="21.75" customHeight="1"/>
    <x:row r="319" ht="21.75" customHeight="1"/>
    <x:row r="320" ht="21.75" customHeight="1"/>
    <x:row r="321" ht="21.75" customHeight="1"/>
    <x:row r="322" ht="21.75" customHeight="1"/>
    <x:row r="323" ht="21.75" customHeight="1"/>
    <x:row r="324" ht="21.75" customHeight="1"/>
    <x:row r="325" ht="21.75" customHeight="1"/>
    <x:row r="326" ht="21.75" customHeight="1"/>
    <x:row r="327" ht="21.75" customHeight="1"/>
    <x:row r="328" ht="21.75" customHeight="1"/>
    <x:row r="329" ht="21.75" customHeight="1"/>
    <x:row r="330" ht="21.75" customHeight="1"/>
    <x:row r="331" ht="21.75" customHeight="1"/>
    <x:row r="332" ht="21.75" customHeight="1"/>
    <x:row r="333" ht="21.75" customHeight="1"/>
    <x:row r="334" ht="21.75" customHeight="1"/>
    <x:row r="335" ht="21.75" customHeight="1"/>
    <x:row r="336" ht="21.75" customHeight="1"/>
    <x:row r="337" ht="21.75" customHeight="1"/>
    <x:row r="338" ht="21.75" customHeight="1"/>
    <x:row r="339" ht="21.75" customHeight="1"/>
    <x:row r="340" ht="21.75" customHeight="1"/>
    <x:row r="341" ht="21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99">
      <x:formula1>"A,B,C,D,E,F"</x:formula1>
    </x:dataValidation>
  </x:dataValidations>
  <x:hyperlinks>
    <x:hyperlink ref="A3" location="'Начало'!A1"/>
    <x:hyperlink ref="C3" location="'Кейс'!A1"/>
    <x:hyperlink ref="A4" location="'С12_Изменение'!A96"/>
    <x:hyperlink ref="A140" location="'С11_Диагностика'!A1"/>
  </x:hyperlink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244761"/>
  </x:sheetPr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33" customWidth="1"/>
    <x:col min="2" max="2" width="37" customWidth="1"/>
    <x:col min="3" max="4" width="31" customWidth="1"/>
    <x:col min="5" max="5" width="35" customWidth="1"/>
    <x:col min="6" max="26" width="8.630000114440918" customWidth="1"/>
  </x:cols>
  <x:sheetData>
    <x:row r="1" ht="28.5" customHeight="1">
      <x:c r="A1" s="1" t="s">
        <x:v>1274</x:v>
      </x:c>
      <x:c r="B1" s="1"/>
      <x:c r="C1" s="1"/>
      <x:c r="D1" s="1"/>
      <x:c r="E1" s="1"/>
    </x:row>
    <x:row r="2" ht="21.75" customHeight="1">
      <x:c r="A2" s="2"/>
      <x:c r="B2" s="2"/>
      <x:c r="C2" s="2"/>
      <x:c r="D2" s="2"/>
      <x:c r="E2" s="2"/>
    </x:row>
    <x:row r="3" ht="21.75" customHeight="1">
      <x:c r="A3" s="6" t="s">
        <x:v>58</x:v>
      </x:c>
      <x:c r="B3" s="2"/>
      <x:c r="C3" s="6" t="s">
        <x:v>236</x:v>
      </x:c>
      <x:c r="D3" s="2"/>
      <x:c r="E3" s="2"/>
    </x:row>
    <x:row r="4" ht="21.75" customHeight="1">
      <x:c r="A4" s="2"/>
      <x:c r="B4" s="2"/>
      <x:c r="C4" s="2"/>
      <x:c r="D4" s="2"/>
      <x:c r="E4" s="2"/>
    </x:row>
    <x:row r="5" ht="22.5" customHeight="1">
      <x:c r="A5" s="10" t="s">
        <x:v>1275</x:v>
      </x:c>
      <x:c r="B5" s="10"/>
      <x:c r="C5" s="10"/>
      <x:c r="D5" s="10"/>
      <x:c r="E5" s="10"/>
    </x:row>
    <x:row r="6" ht="22.5" customHeight="1">
      <x:c r="A6" s="3" t="s">
        <x:v>1276</x:v>
      </x:c>
      <x:c r="B6" s="3"/>
      <x:c r="C6" s="3"/>
      <x:c r="D6" s="3"/>
      <x:c r="E6" s="3"/>
    </x:row>
    <x:row r="7" ht="22.5" customHeight="1">
      <x:c r="A7" s="3" t="s">
        <x:v>1277</x:v>
      </x:c>
      <x:c r="B7" s="3"/>
      <x:c r="C7" s="3"/>
      <x:c r="D7" s="3"/>
      <x:c r="E7" s="3"/>
    </x:row>
    <x:row r="8" ht="22.5" customHeight="1">
      <x:c r="A8" s="3" t="s">
        <x:v>1278</x:v>
      </x:c>
      <x:c r="B8" s="3"/>
      <x:c r="C8" s="3"/>
      <x:c r="D8" s="3"/>
      <x:c r="E8" s="3"/>
    </x:row>
    <x:row r="9" ht="22.5" customHeight="1">
      <x:c r="A9" s="3" t="s">
        <x:v>1279</x:v>
      </x:c>
      <x:c r="B9" s="3"/>
      <x:c r="C9" s="3"/>
      <x:c r="D9" s="3"/>
      <x:c r="E9" s="3"/>
    </x:row>
    <x:row r="10" ht="22.5" customHeight="1">
      <x:c r="A10" s="3" t="s">
        <x:v>1280</x:v>
      </x:c>
      <x:c r="B10" s="3"/>
      <x:c r="C10" s="3"/>
      <x:c r="D10" s="3"/>
      <x:c r="E10" s="3"/>
    </x:row>
    <x:row r="11" ht="22.5" customHeight="1">
      <x:c r="A11" s="3" t="s">
        <x:v>1281</x:v>
      </x:c>
      <x:c r="B11" s="3"/>
      <x:c r="C11" s="3"/>
      <x:c r="D11" s="3"/>
      <x:c r="E11" s="3"/>
    </x:row>
    <x:row r="12" ht="22.5" customHeight="1">
      <x:c r="A12" s="3" t="s">
        <x:v>1282</x:v>
      </x:c>
      <x:c r="B12" s="3"/>
      <x:c r="C12" s="3"/>
      <x:c r="D12" s="3"/>
      <x:c r="E12" s="3"/>
    </x:row>
    <x:row r="13" ht="22.5" customHeight="1">
      <x:c r="A13" s="3" t="s">
        <x:v>1283</x:v>
      </x:c>
      <x:c r="B13" s="3"/>
      <x:c r="C13" s="3"/>
      <x:c r="D13" s="3"/>
      <x:c r="E13" s="3"/>
    </x:row>
    <x:row r="14" ht="22.5" customHeight="1">
      <x:c r="A14" s="3" t="s">
        <x:v>1284</x:v>
      </x:c>
      <x:c r="B14" s="3"/>
      <x:c r="C14" s="3"/>
      <x:c r="D14" s="3"/>
      <x:c r="E14" s="3"/>
    </x:row>
    <x:row r="15" ht="22.5" customHeight="1">
      <x:c r="A15" s="3" t="s">
        <x:v>1285</x:v>
      </x:c>
      <x:c r="B15" s="3"/>
      <x:c r="C15" s="3"/>
      <x:c r="D15" s="3"/>
      <x:c r="E15" s="3"/>
    </x:row>
    <x:row r="16" ht="22.5" customHeight="1">
      <x:c r="A16" s="3" t="s">
        <x:v>245</x:v>
      </x:c>
      <x:c r="B16" s="3"/>
      <x:c r="C16" s="3"/>
      <x:c r="D16" s="3"/>
      <x:c r="E16" s="3"/>
    </x:row>
    <x:row r="17" ht="27" customHeight="1">
      <x:c r="A17" s="4" t="s">
        <x:v>1286</x:v>
      </x:c>
      <x:c r="B17" s="4"/>
      <x:c r="C17" s="4"/>
      <x:c r="D17" s="4"/>
      <x:c r="E17" s="4"/>
    </x:row>
    <x:row r="18" ht="48.75" customHeight="1">
      <x:c r="A18" s="5" t="s">
        <x:v>1287</x:v>
      </x:c>
      <x:c r="B18" s="5" t="s">
        <x:v>1288</x:v>
      </x:c>
      <x:c r="C18" s="5" t="s">
        <x:v>1289</x:v>
      </x:c>
      <x:c r="D18" s="5" t="s">
        <x:v>405</x:v>
      </x:c>
      <x:c r="E18" s="5" t="s">
        <x:v>791</x:v>
      </x:c>
    </x:row>
    <x:row r="19" ht="79.5" customHeight="1">
      <x:c r="A19" s="7" t="s">
        <x:v>1290</x:v>
      </x:c>
      <x:c r="B19" s="16"/>
      <x:c r="C19" s="16"/>
      <x:c r="D19" s="16"/>
      <x:c r="E19" s="16"/>
    </x:row>
    <x:row r="20" ht="79.5" customHeight="1">
      <x:c r="A20" s="7" t="s">
        <x:v>1291</x:v>
      </x:c>
      <x:c r="B20" s="16"/>
      <x:c r="C20" s="16"/>
      <x:c r="D20" s="16"/>
      <x:c r="E20" s="16"/>
    </x:row>
    <x:row r="21" ht="79.5" customHeight="1">
      <x:c r="A21" s="7" t="s">
        <x:v>1292</x:v>
      </x:c>
      <x:c r="B21" s="16"/>
      <x:c r="C21" s="16"/>
      <x:c r="D21" s="16"/>
      <x:c r="E21" s="16"/>
    </x:row>
    <x:row r="22" ht="79.5" customHeight="1">
      <x:c r="A22" s="7" t="s">
        <x:v>1293</x:v>
      </x:c>
      <x:c r="B22" s="16"/>
      <x:c r="C22" s="16"/>
      <x:c r="D22" s="16"/>
      <x:c r="E22" s="16"/>
    </x:row>
    <x:row r="23" ht="79.5" customHeight="1">
      <x:c r="A23" s="7" t="s">
        <x:v>1294</x:v>
      </x:c>
      <x:c r="B23" s="16"/>
      <x:c r="C23" s="16"/>
      <x:c r="D23" s="16"/>
      <x:c r="E23" s="16"/>
    </x:row>
    <x:row r="24" ht="79.5" customHeight="1">
      <x:c r="A24" s="7" t="s">
        <x:v>1295</x:v>
      </x:c>
      <x:c r="B24" s="16"/>
      <x:c r="C24" s="16"/>
      <x:c r="D24" s="16"/>
      <x:c r="E24" s="16"/>
    </x:row>
    <x:row r="25" ht="21.75" customHeight="1">
      <x:c r="A25" s="2"/>
      <x:c r="B25" s="2"/>
      <x:c r="C25" s="2"/>
      <x:c r="D25" s="2"/>
      <x:c r="E25" s="2"/>
    </x:row>
    <x:row r="26" ht="21.75" customHeight="1">
      <x:c r="A26" s="2"/>
      <x:c r="B26" s="2"/>
      <x:c r="C26" s="2"/>
      <x:c r="D26" s="2"/>
      <x:c r="E26" s="2"/>
    </x:row>
    <x:row r="27" ht="27" customHeight="1">
      <x:c r="A27" s="4" t="s">
        <x:v>1296</x:v>
      </x:c>
      <x:c r="B27" s="4"/>
      <x:c r="C27" s="4"/>
      <x:c r="D27" s="4"/>
      <x:c r="E27" s="4"/>
    </x:row>
    <x:row r="28" ht="48.75" customHeight="1">
      <x:c r="A28" s="5" t="s">
        <x:v>1297</x:v>
      </x:c>
      <x:c r="B28" s="5" t="s">
        <x:v>257</x:v>
      </x:c>
      <x:c r="C28" s="5" t="s">
        <x:v>1298</x:v>
      </x:c>
      <x:c r="D28" s="5" t="s">
        <x:v>474</x:v>
      </x:c>
      <x:c r="E28" s="5" t="s">
        <x:v>626</x:v>
      </x:c>
    </x:row>
    <x:row r="29" ht="79.5" customHeight="1">
      <x:c r="A29" s="16"/>
      <x:c r="B29" s="16"/>
      <x:c r="C29" s="16"/>
      <x:c r="D29" s="16"/>
      <x:c r="E29" s="16"/>
    </x:row>
    <x:row r="30" ht="79.5" customHeight="1">
      <x:c r="A30" s="16"/>
      <x:c r="B30" s="16"/>
      <x:c r="C30" s="16"/>
      <x:c r="D30" s="16"/>
      <x:c r="E30" s="16"/>
    </x:row>
    <x:row r="31" ht="79.5" customHeight="1">
      <x:c r="A31" s="16"/>
      <x:c r="B31" s="16"/>
      <x:c r="C31" s="16"/>
      <x:c r="D31" s="16"/>
      <x:c r="E31" s="16"/>
    </x:row>
    <x:row r="32" ht="21.75" customHeight="1">
      <x:c r="A32" s="2"/>
      <x:c r="B32" s="2"/>
      <x:c r="C32" s="2"/>
      <x:c r="D32" s="2"/>
      <x:c r="E32" s="2"/>
    </x:row>
    <x:row r="33" ht="21.75" customHeight="1">
      <x:c r="A33" s="2"/>
      <x:c r="B33" s="2"/>
      <x:c r="C33" s="2"/>
      <x:c r="D33" s="2"/>
      <x:c r="E33" s="2"/>
    </x:row>
    <x:row r="34" ht="27" customHeight="1">
      <x:c r="A34" s="4" t="s">
        <x:v>1299</x:v>
      </x:c>
      <x:c r="B34" s="4"/>
      <x:c r="C34" s="4"/>
      <x:c r="D34" s="4"/>
      <x:c r="E34" s="4"/>
    </x:row>
    <x:row r="35" ht="48.75" customHeight="1">
      <x:c r="A35" s="5" t="s">
        <x:v>1300</x:v>
      </x:c>
      <x:c r="B35" s="5" t="s">
        <x:v>1301</x:v>
      </x:c>
      <x:c r="C35" s="5" t="s">
        <x:v>878</x:v>
      </x:c>
      <x:c r="D35" s="5" t="s">
        <x:v>1302</x:v>
      </x:c>
      <x:c r="E35" s="5" t="s">
        <x:v>1303</x:v>
      </x:c>
    </x:row>
    <x:row r="36" ht="79.5" customHeight="1">
      <x:c r="A36" s="26" t="s">
        <x:v>1304</x:v>
      </x:c>
      <x:c r="B36" s="16"/>
      <x:c r="C36" s="16"/>
      <x:c r="D36" s="16"/>
      <x:c r="E36" s="16"/>
    </x:row>
    <x:row r="37" ht="79.5" customHeight="1">
      <x:c r="A37" s="26" t="s">
        <x:v>1305</x:v>
      </x:c>
      <x:c r="B37" s="16"/>
      <x:c r="C37" s="16"/>
      <x:c r="D37" s="16"/>
      <x:c r="E37" s="16"/>
    </x:row>
    <x:row r="38" ht="79.5" customHeight="1">
      <x:c r="A38" s="26" t="s">
        <x:v>1306</x:v>
      </x:c>
      <x:c r="B38" s="16"/>
      <x:c r="C38" s="16"/>
      <x:c r="D38" s="16"/>
      <x:c r="E38" s="16"/>
    </x:row>
    <x:row r="39" ht="21.75" customHeight="1">
      <x:c r="A39" s="2"/>
      <x:c r="B39" s="2"/>
      <x:c r="C39" s="2"/>
      <x:c r="D39" s="2"/>
      <x:c r="E39" s="2"/>
    </x:row>
    <x:row r="40" ht="21.75" customHeight="1">
      <x:c r="A40" s="2"/>
      <x:c r="B40" s="2"/>
      <x:c r="C40" s="2"/>
      <x:c r="D40" s="2"/>
      <x:c r="E40" s="2"/>
    </x:row>
    <x:row r="41" ht="27" customHeight="1">
      <x:c r="A41" s="4" t="s">
        <x:v>278</x:v>
      </x:c>
      <x:c r="B41" s="4"/>
      <x:c r="C41" s="4"/>
      <x:c r="D41" s="4"/>
      <x:c r="E41" s="4"/>
    </x:row>
    <x:row r="42" ht="22.5" customHeight="1">
      <x:c r="A42" s="3" t="s">
        <x:v>1307</x:v>
      </x:c>
      <x:c r="B42" s="3"/>
      <x:c r="C42" s="3"/>
      <x:c r="D42" s="3"/>
      <x:c r="E42" s="3"/>
    </x:row>
    <x:row r="43" ht="22.5" customHeight="1">
      <x:c r="A43" s="3" t="s">
        <x:v>1308</x:v>
      </x:c>
      <x:c r="B43" s="3"/>
      <x:c r="C43" s="3"/>
      <x:c r="D43" s="3"/>
      <x:c r="E43" s="3"/>
    </x:row>
    <x:row r="44" ht="22.5" customHeight="1">
      <x:c r="A44" s="3" t="s">
        <x:v>1309</x:v>
      </x:c>
      <x:c r="B44" s="3"/>
      <x:c r="C44" s="3"/>
      <x:c r="D44" s="3"/>
      <x:c r="E44" s="3"/>
    </x:row>
    <x:row r="45" ht="22.5" customHeight="1">
      <x:c r="A45" s="3" t="s">
        <x:v>1310</x:v>
      </x:c>
      <x:c r="B45" s="3"/>
      <x:c r="C45" s="3"/>
      <x:c r="D45" s="3"/>
      <x:c r="E45" s="3"/>
    </x:row>
    <x:row r="46" ht="22.5" customHeight="1">
      <x:c r="A46" s="3" t="s">
        <x:v>1311</x:v>
      </x:c>
      <x:c r="B46" s="3"/>
      <x:c r="C46" s="3"/>
      <x:c r="D46" s="3"/>
      <x:c r="E46" s="3"/>
    </x:row>
    <x:row r="47" ht="22.5" customHeight="1">
      <x:c r="A47" s="3" t="s">
        <x:v>1312</x:v>
      </x:c>
      <x:c r="B47" s="3"/>
      <x:c r="C47" s="3"/>
      <x:c r="D47" s="3"/>
      <x:c r="E47" s="3"/>
    </x:row>
    <x:row r="48" ht="22.5" customHeight="1">
      <x:c r="A48" s="3" t="s">
        <x:v>1313</x:v>
      </x:c>
      <x:c r="B48" s="3"/>
      <x:c r="C48" s="3"/>
      <x:c r="D48" s="3"/>
      <x:c r="E48" s="3"/>
    </x:row>
    <x:row r="49" ht="22.5" customHeight="1">
      <x:c r="A49" s="3" t="s">
        <x:v>1314</x:v>
      </x:c>
      <x:c r="B49" s="3"/>
      <x:c r="C49" s="3"/>
      <x:c r="D49" s="3"/>
      <x:c r="E49" s="3"/>
    </x:row>
    <x:row r="50" ht="22.5" customHeight="1">
      <x:c r="A50" s="3" t="s">
        <x:v>1315</x:v>
      </x:c>
      <x:c r="B50" s="3"/>
      <x:c r="C50" s="3"/>
      <x:c r="D50" s="3"/>
      <x:c r="E50" s="3"/>
    </x:row>
    <x:row r="51" ht="22.5" customHeight="1">
      <x:c r="A51" s="3" t="s">
        <x:v>1316</x:v>
      </x:c>
      <x:c r="B51" s="3"/>
      <x:c r="C51" s="3"/>
      <x:c r="D51" s="3"/>
      <x:c r="E51" s="3"/>
    </x:row>
    <x:row r="52" ht="22.5" customHeight="1">
      <x:c r="A52" s="3" t="s">
        <x:v>1317</x:v>
      </x:c>
      <x:c r="B52" s="3"/>
      <x:c r="C52" s="3"/>
      <x:c r="D52" s="3"/>
      <x:c r="E52" s="3"/>
    </x:row>
    <x:row r="53" ht="22.5" customHeight="1">
      <x:c r="A53" s="3" t="s">
        <x:v>1318</x:v>
      </x:c>
      <x:c r="B53" s="3"/>
      <x:c r="C53" s="3"/>
      <x:c r="D53" s="3"/>
      <x:c r="E53" s="3"/>
    </x:row>
    <x:row r="54" ht="22.5" customHeight="1">
      <x:c r="A54" s="3" t="s">
        <x:v>1319</x:v>
      </x:c>
      <x:c r="B54" s="3"/>
      <x:c r="C54" s="3"/>
      <x:c r="D54" s="3"/>
      <x:c r="E54" s="3"/>
    </x:row>
    <x:row r="55" ht="22.5" customHeight="1">
      <x:c r="A55" s="3" t="s">
        <x:v>1320</x:v>
      </x:c>
      <x:c r="B55" s="3"/>
      <x:c r="C55" s="3"/>
      <x:c r="D55" s="3"/>
      <x:c r="E55" s="3"/>
    </x:row>
    <x:row r="56" ht="22.5" customHeight="1">
      <x:c r="A56" s="3" t="s">
        <x:v>1321</x:v>
      </x:c>
      <x:c r="B56" s="3"/>
      <x:c r="C56" s="3"/>
      <x:c r="D56" s="3"/>
      <x:c r="E56" s="3"/>
    </x:row>
    <x:row r="57" ht="22.5" customHeight="1">
      <x:c r="A57" s="3" t="s">
        <x:v>1322</x:v>
      </x:c>
      <x:c r="B57" s="3"/>
      <x:c r="C57" s="3"/>
      <x:c r="D57" s="3"/>
      <x:c r="E57" s="3"/>
    </x:row>
    <x:row r="58" ht="22.5" customHeight="1">
      <x:c r="A58" s="3" t="s">
        <x:v>1323</x:v>
      </x:c>
      <x:c r="B58" s="3"/>
      <x:c r="C58" s="3"/>
      <x:c r="D58" s="3"/>
      <x:c r="E58" s="3"/>
    </x:row>
    <x:row r="59" ht="22.5" customHeight="1">
      <x:c r="A59" s="3" t="s">
        <x:v>1324</x:v>
      </x:c>
      <x:c r="B59" s="3"/>
      <x:c r="C59" s="3"/>
      <x:c r="D59" s="3"/>
      <x:c r="E59" s="3"/>
    </x:row>
    <x:row r="60" ht="27" customHeight="1">
      <x:c r="A60" s="4" t="s">
        <x:v>421</x:v>
      </x:c>
      <x:c r="B60" s="4"/>
      <x:c r="C60" s="4"/>
      <x:c r="D60" s="4"/>
      <x:c r="E60" s="4"/>
    </x:row>
    <x:row r="61" ht="22.5" customHeight="1">
      <x:c r="A61" s="10" t="s">
        <x:v>1325</x:v>
      </x:c>
      <x:c r="B61" s="10"/>
      <x:c r="C61" s="10"/>
      <x:c r="D61" s="10"/>
      <x:c r="E61" s="10"/>
    </x:row>
    <x:row r="62" ht="22.5" customHeight="1">
      <x:c r="A62" s="3" t="s">
        <x:v>1326</x:v>
      </x:c>
      <x:c r="B62" s="3"/>
      <x:c r="C62" s="3"/>
      <x:c r="D62" s="3"/>
      <x:c r="E62" s="3"/>
    </x:row>
    <x:row r="63" ht="22.5" customHeight="1">
      <x:c r="A63" s="3" t="s">
        <x:v>1327</x:v>
      </x:c>
      <x:c r="B63" s="3"/>
      <x:c r="C63" s="3"/>
      <x:c r="D63" s="3"/>
      <x:c r="E63" s="3"/>
    </x:row>
    <x:row r="64" ht="22.5" customHeight="1">
      <x:c r="A64" s="3" t="s">
        <x:v>1328</x:v>
      </x:c>
      <x:c r="B64" s="3"/>
      <x:c r="C64" s="3"/>
      <x:c r="D64" s="3"/>
      <x:c r="E64" s="3"/>
    </x:row>
    <x:row r="65" ht="22.5" customHeight="1">
      <x:c r="A65" s="3" t="s">
        <x:v>1329</x:v>
      </x:c>
      <x:c r="B65" s="3"/>
      <x:c r="C65" s="3"/>
      <x:c r="D65" s="3"/>
      <x:c r="E65" s="3"/>
    </x:row>
    <x:row r="66" ht="22.5" customHeight="1">
      <x:c r="A66" s="3" t="s">
        <x:v>1330</x:v>
      </x:c>
      <x:c r="B66" s="3"/>
      <x:c r="C66" s="3"/>
      <x:c r="D66" s="3"/>
      <x:c r="E66" s="3"/>
    </x:row>
    <x:row r="67" ht="22.5" customHeight="1">
      <x:c r="A67" s="3" t="s">
        <x:v>1331</x:v>
      </x:c>
      <x:c r="B67" s="3"/>
      <x:c r="C67" s="3"/>
      <x:c r="D67" s="3"/>
      <x:c r="E67" s="3"/>
    </x:row>
    <x:row r="68" ht="22.5" customHeight="1">
      <x:c r="A68" s="3" t="s">
        <x:v>1332</x:v>
      </x:c>
      <x:c r="B68" s="3"/>
      <x:c r="C68" s="3"/>
      <x:c r="D68" s="3"/>
      <x:c r="E68" s="3"/>
    </x:row>
    <x:row r="69" ht="22.5" customHeight="1">
      <x:c r="A69" s="3" t="s">
        <x:v>1333</x:v>
      </x:c>
      <x:c r="B69" s="3"/>
      <x:c r="C69" s="3"/>
      <x:c r="D69" s="3"/>
      <x:c r="E69" s="3"/>
    </x:row>
    <x:row r="70" ht="27" customHeight="1">
      <x:c r="A70" s="4" t="s">
        <x:v>1334</x:v>
      </x:c>
      <x:c r="B70" s="4"/>
      <x:c r="C70" s="4"/>
      <x:c r="D70" s="4"/>
      <x:c r="E70" s="4"/>
    </x:row>
    <x:row r="71" ht="48.75" customHeight="1">
      <x:c r="A71" s="5" t="s">
        <x:v>530</x:v>
      </x:c>
      <x:c r="B71" s="5" t="s">
        <x:v>1335</x:v>
      </x:c>
      <x:c r="C71" s="5" t="s">
        <x:v>1186</x:v>
      </x:c>
      <x:c r="D71" s="5" t="s">
        <x:v>905</x:v>
      </x:c>
      <x:c r="E71" s="2"/>
    </x:row>
    <x:row r="72" ht="87" customHeight="1">
      <x:c r="A72" s="15" t="s">
        <x:v>1336</x:v>
      </x:c>
      <x:c r="B72" s="15" t="s">
        <x:v>1337</x:v>
      </x:c>
      <x:c r="C72" s="15" t="s">
        <x:v>1338</x:v>
      </x:c>
      <x:c r="D72" s="15" t="s">
        <x:v>1339</x:v>
      </x:c>
      <x:c r="E72" s="2"/>
    </x:row>
    <x:row r="73" ht="72" customHeight="1">
      <x:c r="A73" s="15" t="s">
        <x:v>1340</x:v>
      </x:c>
      <x:c r="B73" s="15" t="s">
        <x:v>1337</x:v>
      </x:c>
      <x:c r="C73" s="15" t="s">
        <x:v>1341</x:v>
      </x:c>
      <x:c r="D73" s="15" t="s">
        <x:v>1342</x:v>
      </x:c>
      <x:c r="E73" s="2"/>
    </x:row>
    <x:row r="74" ht="102" customHeight="1">
      <x:c r="A74" s="15" t="s">
        <x:v>1343</x:v>
      </x:c>
      <x:c r="B74" s="15" t="s">
        <x:v>1337</x:v>
      </x:c>
      <x:c r="C74" s="15" t="s">
        <x:v>1344</x:v>
      </x:c>
      <x:c r="D74" s="15" t="s">
        <x:v>1345</x:v>
      </x:c>
      <x:c r="E74" s="2"/>
    </x:row>
    <x:row r="75" ht="102" customHeight="1">
      <x:c r="A75" s="15" t="s">
        <x:v>1346</x:v>
      </x:c>
      <x:c r="B75" s="15" t="s">
        <x:v>1337</x:v>
      </x:c>
      <x:c r="C75" s="15" t="s">
        <x:v>1347</x:v>
      </x:c>
      <x:c r="D75" s="15" t="s">
        <x:v>1348</x:v>
      </x:c>
      <x:c r="E75" s="2"/>
    </x:row>
    <x:row r="76" ht="102" customHeight="1">
      <x:c r="A76" s="15" t="s">
        <x:v>1349</x:v>
      </x:c>
      <x:c r="B76" s="15" t="s">
        <x:v>1350</x:v>
      </x:c>
      <x:c r="C76" s="15" t="s">
        <x:v>1351</x:v>
      </x:c>
      <x:c r="D76" s="15" t="s">
        <x:v>1352</x:v>
      </x:c>
      <x:c r="E76" s="2"/>
    </x:row>
    <x:row r="77" ht="87" customHeight="1">
      <x:c r="A77" s="15" t="s">
        <x:v>1353</x:v>
      </x:c>
      <x:c r="B77" s="15" t="s">
        <x:v>1350</x:v>
      </x:c>
      <x:c r="C77" s="15" t="s">
        <x:v>1354</x:v>
      </x:c>
      <x:c r="D77" s="15" t="s">
        <x:v>1355</x:v>
      </x:c>
      <x:c r="E77" s="2"/>
    </x:row>
    <x:row r="78" ht="21.75" customHeight="1">
      <x:c r="A78" s="2"/>
      <x:c r="B78" s="2"/>
      <x:c r="C78" s="2"/>
      <x:c r="D78" s="2"/>
      <x:c r="E78" s="2"/>
    </x:row>
    <x:row r="79" ht="21.75" customHeight="1">
      <x:c r="A79" s="2"/>
      <x:c r="B79" s="2"/>
      <x:c r="C79" s="2"/>
      <x:c r="D79" s="2"/>
      <x:c r="E79" s="2"/>
    </x:row>
    <x:row r="80" ht="22.5" customHeight="1">
      <x:c r="A80" s="3" t="s">
        <x:v>302</x:v>
      </x:c>
      <x:c r="B80" s="3"/>
      <x:c r="C80" s="3"/>
      <x:c r="D80" s="3"/>
      <x:c r="E80" s="3"/>
    </x:row>
    <x:row r="81" ht="21.75" customHeight="1">
      <x:c r="A81" s="2"/>
      <x:c r="B81" s="2"/>
      <x:c r="C81" s="2"/>
      <x:c r="D81" s="2"/>
      <x:c r="E81" s="2"/>
    </x:row>
    <x:row r="82" ht="21.75" customHeight="1">
      <x:c r="A82" s="6" t="s">
        <x:v>380</x:v>
      </x:c>
      <x:c r="B82" s="2"/>
      <x:c r="C82" s="2"/>
      <x:c r="D82" s="2"/>
      <x:c r="E82" s="2"/>
    </x:row>
    <x:row r="83" ht="22.5" customHeight="1">
      <x:c r="A83" s="3" t="s">
        <x:v>381</x:v>
      </x:c>
      <x:c r="B83" s="3"/>
      <x:c r="C83" s="3"/>
      <x:c r="D83" s="3"/>
      <x:c r="E83" s="3"/>
    </x:row>
    <x:row r="84" ht="21.75" customHeight="1"/>
    <x:row r="85" ht="21.75" customHeight="1"/>
    <x:row r="86" ht="21.75" customHeight="1"/>
    <x:row r="87" ht="21.75" customHeight="1"/>
    <x:row r="88" ht="21.75" customHeight="1"/>
    <x:row r="89" ht="21.75" customHeight="1"/>
    <x:row r="90" ht="21.75" customHeight="1"/>
    <x:row r="91" ht="21.75" customHeight="1"/>
    <x:row r="92" ht="21.75" customHeight="1"/>
    <x:row r="93" ht="21.75" customHeight="1"/>
    <x:row r="94" ht="21.75" customHeight="1"/>
    <x:row r="95" ht="21.75" customHeight="1"/>
    <x:row r="96" ht="21.75" customHeight="1"/>
    <x:row r="97" ht="21.75" customHeight="1"/>
    <x:row r="98" ht="21.75" customHeight="1"/>
    <x:row r="99" ht="21.75" customHeight="1"/>
    <x:row r="100" ht="21.75" customHeight="1"/>
    <x:row r="101" ht="21.75" customHeight="1"/>
    <x:row r="102" ht="21.75" customHeight="1"/>
    <x:row r="103" ht="21.75" customHeight="1"/>
    <x:row r="104" ht="21.75" customHeight="1"/>
    <x:row r="105" ht="21.75" customHeight="1"/>
    <x:row r="106" ht="21.75" customHeight="1"/>
    <x:row r="107" ht="21.75" customHeight="1"/>
    <x:row r="108" ht="21.75" customHeight="1"/>
    <x:row r="109" ht="21.75" customHeight="1"/>
    <x:row r="110" ht="21.75" customHeight="1"/>
    <x:row r="111" ht="21.75" customHeight="1"/>
    <x:row r="112" ht="21.75" customHeight="1"/>
    <x:row r="113" ht="21.75" customHeight="1"/>
    <x:row r="114" ht="21.75" customHeight="1"/>
    <x:row r="115" ht="21.75" customHeight="1"/>
    <x:row r="116" ht="21.75" customHeight="1"/>
    <x:row r="117" ht="21.75" customHeight="1"/>
    <x:row r="118" ht="21.75" customHeight="1"/>
    <x:row r="119" ht="21.75" customHeight="1"/>
    <x:row r="120" ht="21.75" customHeight="1"/>
    <x:row r="121" ht="21.75" customHeight="1"/>
    <x:row r="122" ht="21.75" customHeight="1"/>
    <x:row r="123" ht="21.75" customHeight="1"/>
    <x:row r="124" ht="21.75" customHeight="1"/>
    <x:row r="125" ht="21.75" customHeight="1"/>
    <x:row r="126" ht="21.75" customHeight="1"/>
    <x:row r="127" ht="21.75" customHeight="1"/>
    <x:row r="128" ht="21.75" customHeight="1"/>
    <x:row r="129" ht="21.75" customHeight="1"/>
    <x:row r="130" ht="21.75" customHeight="1"/>
    <x:row r="131" ht="21.75" customHeight="1"/>
    <x:row r="132" ht="21.75" customHeight="1"/>
    <x:row r="133" ht="21.75" customHeight="1"/>
    <x:row r="134" ht="21.75" customHeight="1"/>
    <x:row r="135" ht="21.75" customHeight="1"/>
    <x:row r="136" ht="21.75" customHeight="1"/>
    <x:row r="137" ht="21.75" customHeight="1"/>
    <x:row r="138" ht="21.75" customHeight="1"/>
    <x:row r="139" ht="21.75" customHeight="1"/>
    <x:row r="140" ht="21.75" customHeight="1"/>
    <x:row r="141" ht="21.75" customHeight="1"/>
    <x:row r="142" ht="21.75" customHeight="1"/>
    <x:row r="143" ht="21.75" customHeight="1"/>
    <x:row r="144" ht="21.75" customHeight="1"/>
    <x:row r="145" ht="21.75" customHeight="1"/>
    <x:row r="146" ht="21.75" customHeight="1"/>
    <x:row r="147" ht="21.75" customHeight="1"/>
    <x:row r="148" ht="21.75" customHeight="1"/>
    <x:row r="149" ht="21.75" customHeight="1"/>
    <x:row r="150" ht="21.75" customHeight="1"/>
    <x:row r="151" ht="21.75" customHeight="1"/>
    <x:row r="152" ht="21.75" customHeight="1"/>
    <x:row r="153" ht="21.75" customHeight="1"/>
    <x:row r="154" ht="21.75" customHeight="1"/>
    <x:row r="155" ht="21.75" customHeight="1"/>
    <x:row r="156" ht="21.75" customHeight="1"/>
    <x:row r="157" ht="21.75" customHeight="1"/>
    <x:row r="158" ht="21.75" customHeight="1"/>
    <x:row r="159" ht="21.75" customHeight="1"/>
    <x:row r="160" ht="21.75" customHeight="1"/>
    <x:row r="161" ht="21.75" customHeight="1"/>
    <x:row r="162" ht="21.75" customHeight="1"/>
    <x:row r="163" ht="21.75" customHeight="1"/>
    <x:row r="164" ht="21.75" customHeight="1"/>
    <x:row r="165" ht="21.75" customHeight="1"/>
    <x:row r="166" ht="21.75" customHeight="1"/>
    <x:row r="167" ht="21.75" customHeight="1"/>
    <x:row r="168" ht="21.75" customHeight="1"/>
    <x:row r="169" ht="21.75" customHeight="1"/>
    <x:row r="170" ht="21.75" customHeight="1"/>
    <x:row r="171" ht="21.75" customHeight="1"/>
    <x:row r="172" ht="21.75" customHeight="1"/>
    <x:row r="173" ht="21.75" customHeight="1"/>
    <x:row r="174" ht="21.75" customHeight="1"/>
    <x:row r="175" ht="21.75" customHeight="1"/>
    <x:row r="176" ht="21.75" customHeight="1"/>
    <x:row r="177" ht="21.75" customHeight="1"/>
    <x:row r="178" ht="21.75" customHeight="1"/>
    <x:row r="179" ht="21.75" customHeight="1"/>
    <x:row r="180" ht="21.75" customHeight="1"/>
    <x:row r="181" ht="21.75" customHeight="1"/>
    <x:row r="182" ht="21.75" customHeight="1"/>
    <x:row r="183" ht="21.75" customHeight="1"/>
    <x:row r="184" ht="21.75" customHeight="1"/>
    <x:row r="185" ht="21.75" customHeight="1"/>
    <x:row r="186" ht="21.75" customHeight="1"/>
    <x:row r="187" ht="21.75" customHeight="1"/>
    <x:row r="188" ht="21.75" customHeight="1"/>
    <x:row r="189" ht="21.75" customHeight="1"/>
    <x:row r="190" ht="21.75" customHeight="1"/>
    <x:row r="191" ht="21.75" customHeight="1"/>
    <x:row r="192" ht="21.75" customHeight="1"/>
    <x:row r="193" ht="21.75" customHeight="1"/>
    <x:row r="194" ht="21.75" customHeight="1"/>
    <x:row r="195" ht="21.75" customHeight="1"/>
    <x:row r="196" ht="21.75" customHeight="1"/>
    <x:row r="197" ht="21.75" customHeight="1"/>
    <x:row r="198" ht="21.75" customHeight="1"/>
    <x:row r="199" ht="21.75" customHeight="1"/>
    <x:row r="200" ht="21.75" customHeight="1"/>
    <x:row r="201" ht="21.75" customHeight="1"/>
    <x:row r="202" ht="21.75" customHeight="1"/>
    <x:row r="203" ht="21.75" customHeight="1"/>
    <x:row r="204" ht="21.75" customHeight="1"/>
    <x:row r="205" ht="21.75" customHeight="1"/>
    <x:row r="206" ht="21.75" customHeight="1"/>
    <x:row r="207" ht="21.75" customHeight="1"/>
    <x:row r="208" ht="21.75" customHeight="1"/>
    <x:row r="209" ht="21.75" customHeight="1"/>
    <x:row r="210" ht="21.75" customHeight="1"/>
    <x:row r="211" ht="21.75" customHeight="1"/>
    <x:row r="212" ht="21.75" customHeight="1"/>
    <x:row r="213" ht="21.75" customHeight="1"/>
    <x:row r="214" ht="21.75" customHeight="1"/>
    <x:row r="215" ht="21.75" customHeight="1"/>
    <x:row r="216" ht="21.75" customHeight="1"/>
    <x:row r="217" ht="21.75" customHeight="1"/>
    <x:row r="218" ht="21.75" customHeight="1"/>
    <x:row r="219" ht="21.75" customHeight="1"/>
    <x:row r="220" ht="21.75" customHeight="1"/>
    <x:row r="221" ht="21.75" customHeight="1"/>
    <x:row r="222" ht="21.75" customHeight="1"/>
    <x:row r="223" ht="21.75" customHeight="1"/>
    <x:row r="224" ht="21.75" customHeight="1"/>
    <x:row r="225" ht="21.75" customHeight="1"/>
    <x:row r="226" ht="21.75" customHeight="1"/>
    <x:row r="227" ht="21.75" customHeight="1"/>
    <x:row r="228" ht="21.75" customHeight="1"/>
    <x:row r="229" ht="21.75" customHeight="1"/>
    <x:row r="230" ht="21.75" customHeight="1"/>
    <x:row r="231" ht="21.75" customHeight="1"/>
    <x:row r="232" ht="21.75" customHeight="1"/>
    <x:row r="233" ht="21.75" customHeight="1"/>
    <x:row r="234" ht="21.75" customHeight="1"/>
    <x:row r="235" ht="21.75" customHeight="1"/>
    <x:row r="236" ht="21.75" customHeight="1"/>
    <x:row r="237" ht="21.75" customHeight="1"/>
    <x:row r="238" ht="21.75" customHeight="1"/>
    <x:row r="239" ht="21.75" customHeight="1"/>
    <x:row r="240" ht="21.75" customHeight="1"/>
    <x:row r="241" ht="21.75" customHeight="1"/>
    <x:row r="242" ht="21.75" customHeight="1"/>
    <x:row r="243" ht="21.75" customHeight="1"/>
    <x:row r="244" ht="21.75" customHeight="1"/>
    <x:row r="245" ht="21.75" customHeight="1"/>
    <x:row r="246" ht="21.75" customHeight="1"/>
    <x:row r="247" ht="21.75" customHeight="1"/>
    <x:row r="248" ht="21.75" customHeight="1"/>
    <x:row r="249" ht="21.75" customHeight="1"/>
    <x:row r="250" ht="21.75" customHeight="1"/>
    <x:row r="251" ht="21.75" customHeight="1"/>
    <x:row r="252" ht="21.75" customHeight="1"/>
    <x:row r="253" ht="21.75" customHeight="1"/>
    <x:row r="254" ht="21.75" customHeight="1"/>
    <x:row r="255" ht="21.75" customHeight="1"/>
    <x:row r="256" ht="21.75" customHeight="1"/>
    <x:row r="257" ht="21.75" customHeight="1"/>
    <x:row r="258" ht="21.75" customHeight="1"/>
    <x:row r="259" ht="21.75" customHeight="1"/>
    <x:row r="260" ht="21.75" customHeight="1"/>
    <x:row r="261" ht="21.75" customHeight="1"/>
    <x:row r="262" ht="21.75" customHeight="1"/>
    <x:row r="263" ht="21.75" customHeight="1"/>
    <x:row r="264" ht="21.75" customHeight="1"/>
    <x:row r="265" ht="21.75" customHeight="1"/>
    <x:row r="266" ht="21.75" customHeight="1"/>
    <x:row r="267" ht="21.75" customHeight="1"/>
    <x:row r="268" ht="21.75" customHeight="1"/>
    <x:row r="269" ht="21.75" customHeight="1"/>
    <x:row r="270" ht="21.75" customHeight="1"/>
    <x:row r="271" ht="21.75" customHeight="1"/>
    <x:row r="272" ht="21.75" customHeight="1"/>
    <x:row r="273" ht="21.75" customHeight="1"/>
    <x:row r="274" ht="21.75" customHeight="1"/>
    <x:row r="275" ht="21.75" customHeight="1"/>
    <x:row r="276" ht="21.75" customHeight="1"/>
    <x:row r="277" ht="21.75" customHeight="1"/>
    <x:row r="278" ht="21.75" customHeight="1"/>
    <x:row r="279" ht="21.75" customHeight="1"/>
    <x:row r="280" ht="21.75" customHeight="1"/>
    <x:row r="281" ht="21.75" customHeight="1"/>
    <x:row r="282" ht="21.75" customHeight="1"/>
    <x:row r="283" ht="21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ref="A3" location="'Начало'!A1"/>
    <x:hyperlink ref="C3" location="'Кейс'!A1"/>
    <x:hyperlink ref="A82" location="'С12_Изменение'!A1"/>
  </x:hyperlinks>
  <x:pageMargins left="0.7" right="0.7" top="0.75" bottom="0.75" header="0.3" footer="0.3"/>
</x:worksheet>
</file>